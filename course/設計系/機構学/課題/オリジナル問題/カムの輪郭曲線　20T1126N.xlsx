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koutaku\Desktop\2020前期講義書類\機構学\オリジナル問題\"/>
    </mc:Choice>
  </mc:AlternateContent>
  <xr:revisionPtr revIDLastSave="0" documentId="13_ncr:1_{13C5F5EB-9BCD-4DE3-A93C-A56B20B2DFA2}" xr6:coauthVersionLast="45" xr6:coauthVersionMax="45" xr10:uidLastSave="{00000000-0000-0000-0000-000000000000}"/>
  <bookViews>
    <workbookView xWindow="5625" yWindow="267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34" i="1" l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33" i="1"/>
  <c r="D332" i="1"/>
  <c r="D331" i="1"/>
  <c r="D274" i="1"/>
  <c r="D275" i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27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4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1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15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93" i="1"/>
  <c r="D91" i="1"/>
  <c r="D9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3" i="1"/>
  <c r="D2" i="1"/>
  <c r="F6" i="1" l="1"/>
  <c r="F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118" i="1"/>
  <c r="F122" i="1"/>
  <c r="F126" i="1"/>
  <c r="F130" i="1"/>
  <c r="F134" i="1"/>
  <c r="F138" i="1"/>
  <c r="F142" i="1"/>
  <c r="F146" i="1"/>
  <c r="F150" i="1"/>
  <c r="F154" i="1"/>
  <c r="F158" i="1"/>
  <c r="F162" i="1"/>
  <c r="F166" i="1"/>
  <c r="F170" i="1"/>
  <c r="F174" i="1"/>
  <c r="F178" i="1"/>
  <c r="F182" i="1"/>
  <c r="F186" i="1"/>
  <c r="F190" i="1"/>
  <c r="F194" i="1"/>
  <c r="F198" i="1"/>
  <c r="F202" i="1"/>
  <c r="F206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F270" i="1"/>
  <c r="F274" i="1"/>
  <c r="F278" i="1"/>
  <c r="F282" i="1"/>
  <c r="F286" i="1"/>
  <c r="F290" i="1"/>
  <c r="F294" i="1"/>
  <c r="F298" i="1"/>
  <c r="F302" i="1"/>
  <c r="F306" i="1"/>
  <c r="F310" i="1"/>
  <c r="F314" i="1"/>
  <c r="F318" i="1"/>
  <c r="F322" i="1"/>
  <c r="F326" i="1"/>
  <c r="F330" i="1"/>
  <c r="F334" i="1"/>
  <c r="F338" i="1"/>
  <c r="F342" i="1"/>
  <c r="F346" i="1"/>
  <c r="F350" i="1"/>
  <c r="F354" i="1"/>
  <c r="F358" i="1"/>
  <c r="F362" i="1"/>
  <c r="B3" i="1"/>
  <c r="E3" i="1" s="1"/>
  <c r="B4" i="1"/>
  <c r="E4" i="1" s="1"/>
  <c r="B5" i="1"/>
  <c r="E5" i="1" s="1"/>
  <c r="B6" i="1"/>
  <c r="E6" i="1" s="1"/>
  <c r="B7" i="1"/>
  <c r="E7" i="1" s="1"/>
  <c r="B8" i="1"/>
  <c r="E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39" i="1"/>
  <c r="E39" i="1" s="1"/>
  <c r="B40" i="1"/>
  <c r="E40" i="1" s="1"/>
  <c r="B41" i="1"/>
  <c r="E41" i="1" s="1"/>
  <c r="B42" i="1"/>
  <c r="E42" i="1" s="1"/>
  <c r="B43" i="1"/>
  <c r="E43" i="1" s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61" i="1"/>
  <c r="E61" i="1" s="1"/>
  <c r="B62" i="1"/>
  <c r="E62" i="1" s="1"/>
  <c r="B63" i="1"/>
  <c r="E63" i="1" s="1"/>
  <c r="B64" i="1"/>
  <c r="E64" i="1" s="1"/>
  <c r="B65" i="1"/>
  <c r="E65" i="1" s="1"/>
  <c r="B66" i="1"/>
  <c r="E66" i="1" s="1"/>
  <c r="B67" i="1"/>
  <c r="E67" i="1" s="1"/>
  <c r="B68" i="1"/>
  <c r="E68" i="1" s="1"/>
  <c r="B69" i="1"/>
  <c r="E69" i="1" s="1"/>
  <c r="B70" i="1"/>
  <c r="E70" i="1" s="1"/>
  <c r="B71" i="1"/>
  <c r="E71" i="1" s="1"/>
  <c r="B72" i="1"/>
  <c r="E72" i="1" s="1"/>
  <c r="B73" i="1"/>
  <c r="E73" i="1" s="1"/>
  <c r="B74" i="1"/>
  <c r="E74" i="1" s="1"/>
  <c r="B75" i="1"/>
  <c r="E75" i="1" s="1"/>
  <c r="B76" i="1"/>
  <c r="E76" i="1" s="1"/>
  <c r="B77" i="1"/>
  <c r="E77" i="1" s="1"/>
  <c r="B78" i="1"/>
  <c r="E78" i="1" s="1"/>
  <c r="B79" i="1"/>
  <c r="E79" i="1" s="1"/>
  <c r="B80" i="1"/>
  <c r="E80" i="1" s="1"/>
  <c r="B81" i="1"/>
  <c r="E81" i="1" s="1"/>
  <c r="B82" i="1"/>
  <c r="E82" i="1" s="1"/>
  <c r="B83" i="1"/>
  <c r="E83" i="1" s="1"/>
  <c r="B84" i="1"/>
  <c r="E84" i="1" s="1"/>
  <c r="B85" i="1"/>
  <c r="E85" i="1" s="1"/>
  <c r="B86" i="1"/>
  <c r="E86" i="1" s="1"/>
  <c r="B87" i="1"/>
  <c r="E87" i="1" s="1"/>
  <c r="B88" i="1"/>
  <c r="E88" i="1" s="1"/>
  <c r="B89" i="1"/>
  <c r="E89" i="1" s="1"/>
  <c r="B90" i="1"/>
  <c r="E90" i="1" s="1"/>
  <c r="B91" i="1"/>
  <c r="E91" i="1" s="1"/>
  <c r="B92" i="1"/>
  <c r="E92" i="1" s="1"/>
  <c r="B93" i="1"/>
  <c r="E93" i="1" s="1"/>
  <c r="B94" i="1"/>
  <c r="E94" i="1" s="1"/>
  <c r="B95" i="1"/>
  <c r="E95" i="1" s="1"/>
  <c r="B96" i="1"/>
  <c r="E96" i="1" s="1"/>
  <c r="B97" i="1"/>
  <c r="E97" i="1" s="1"/>
  <c r="B98" i="1"/>
  <c r="E98" i="1" s="1"/>
  <c r="B99" i="1"/>
  <c r="E99" i="1" s="1"/>
  <c r="B100" i="1"/>
  <c r="E100" i="1" s="1"/>
  <c r="B101" i="1"/>
  <c r="E101" i="1" s="1"/>
  <c r="B102" i="1"/>
  <c r="E102" i="1" s="1"/>
  <c r="B103" i="1"/>
  <c r="E103" i="1" s="1"/>
  <c r="B104" i="1"/>
  <c r="E104" i="1" s="1"/>
  <c r="B105" i="1"/>
  <c r="E105" i="1" s="1"/>
  <c r="B106" i="1"/>
  <c r="E106" i="1" s="1"/>
  <c r="B107" i="1"/>
  <c r="E107" i="1" s="1"/>
  <c r="B108" i="1"/>
  <c r="E108" i="1" s="1"/>
  <c r="B109" i="1"/>
  <c r="E109" i="1" s="1"/>
  <c r="B110" i="1"/>
  <c r="E110" i="1" s="1"/>
  <c r="B111" i="1"/>
  <c r="E111" i="1" s="1"/>
  <c r="B112" i="1"/>
  <c r="E112" i="1" s="1"/>
  <c r="B113" i="1"/>
  <c r="E113" i="1" s="1"/>
  <c r="B114" i="1"/>
  <c r="E114" i="1" s="1"/>
  <c r="B115" i="1"/>
  <c r="E115" i="1" s="1"/>
  <c r="B116" i="1"/>
  <c r="E116" i="1" s="1"/>
  <c r="B117" i="1"/>
  <c r="E117" i="1" s="1"/>
  <c r="B118" i="1"/>
  <c r="E118" i="1" s="1"/>
  <c r="B119" i="1"/>
  <c r="E119" i="1" s="1"/>
  <c r="B120" i="1"/>
  <c r="E120" i="1" s="1"/>
  <c r="B121" i="1"/>
  <c r="E121" i="1" s="1"/>
  <c r="B122" i="1"/>
  <c r="E122" i="1" s="1"/>
  <c r="B123" i="1"/>
  <c r="E123" i="1" s="1"/>
  <c r="B124" i="1"/>
  <c r="E124" i="1" s="1"/>
  <c r="B125" i="1"/>
  <c r="E125" i="1" s="1"/>
  <c r="B126" i="1"/>
  <c r="E126" i="1" s="1"/>
  <c r="B127" i="1"/>
  <c r="E127" i="1" s="1"/>
  <c r="B128" i="1"/>
  <c r="E128" i="1" s="1"/>
  <c r="B129" i="1"/>
  <c r="E129" i="1" s="1"/>
  <c r="B130" i="1"/>
  <c r="E130" i="1" s="1"/>
  <c r="B131" i="1"/>
  <c r="E131" i="1" s="1"/>
  <c r="B132" i="1"/>
  <c r="E132" i="1" s="1"/>
  <c r="B133" i="1"/>
  <c r="E133" i="1" s="1"/>
  <c r="B134" i="1"/>
  <c r="E134" i="1" s="1"/>
  <c r="B135" i="1"/>
  <c r="E135" i="1" s="1"/>
  <c r="B136" i="1"/>
  <c r="E136" i="1" s="1"/>
  <c r="B137" i="1"/>
  <c r="E137" i="1" s="1"/>
  <c r="B138" i="1"/>
  <c r="E138" i="1" s="1"/>
  <c r="B139" i="1"/>
  <c r="E139" i="1" s="1"/>
  <c r="B140" i="1"/>
  <c r="E140" i="1" s="1"/>
  <c r="B141" i="1"/>
  <c r="E141" i="1" s="1"/>
  <c r="B142" i="1"/>
  <c r="E142" i="1" s="1"/>
  <c r="B143" i="1"/>
  <c r="E143" i="1" s="1"/>
  <c r="B144" i="1"/>
  <c r="E144" i="1" s="1"/>
  <c r="B145" i="1"/>
  <c r="E145" i="1" s="1"/>
  <c r="B146" i="1"/>
  <c r="E146" i="1" s="1"/>
  <c r="B147" i="1"/>
  <c r="E147" i="1" s="1"/>
  <c r="B148" i="1"/>
  <c r="E148" i="1" s="1"/>
  <c r="B149" i="1"/>
  <c r="E149" i="1" s="1"/>
  <c r="B150" i="1"/>
  <c r="E150" i="1" s="1"/>
  <c r="B151" i="1"/>
  <c r="E151" i="1" s="1"/>
  <c r="B152" i="1"/>
  <c r="E152" i="1" s="1"/>
  <c r="B153" i="1"/>
  <c r="E153" i="1" s="1"/>
  <c r="B154" i="1"/>
  <c r="E154" i="1" s="1"/>
  <c r="B155" i="1"/>
  <c r="E155" i="1" s="1"/>
  <c r="B156" i="1"/>
  <c r="E156" i="1" s="1"/>
  <c r="B157" i="1"/>
  <c r="E157" i="1" s="1"/>
  <c r="B158" i="1"/>
  <c r="E158" i="1" s="1"/>
  <c r="B159" i="1"/>
  <c r="E159" i="1" s="1"/>
  <c r="B160" i="1"/>
  <c r="E160" i="1" s="1"/>
  <c r="B161" i="1"/>
  <c r="E161" i="1" s="1"/>
  <c r="B162" i="1"/>
  <c r="E162" i="1" s="1"/>
  <c r="B163" i="1"/>
  <c r="E163" i="1" s="1"/>
  <c r="B164" i="1"/>
  <c r="E164" i="1" s="1"/>
  <c r="B165" i="1"/>
  <c r="E165" i="1" s="1"/>
  <c r="B166" i="1"/>
  <c r="E166" i="1" s="1"/>
  <c r="B167" i="1"/>
  <c r="E167" i="1" s="1"/>
  <c r="B168" i="1"/>
  <c r="E168" i="1" s="1"/>
  <c r="B169" i="1"/>
  <c r="E169" i="1" s="1"/>
  <c r="B170" i="1"/>
  <c r="E170" i="1" s="1"/>
  <c r="B171" i="1"/>
  <c r="E171" i="1" s="1"/>
  <c r="B172" i="1"/>
  <c r="E172" i="1" s="1"/>
  <c r="B173" i="1"/>
  <c r="E173" i="1" s="1"/>
  <c r="B174" i="1"/>
  <c r="E174" i="1" s="1"/>
  <c r="B175" i="1"/>
  <c r="E175" i="1" s="1"/>
  <c r="B176" i="1"/>
  <c r="E176" i="1" s="1"/>
  <c r="B177" i="1"/>
  <c r="E177" i="1" s="1"/>
  <c r="B178" i="1"/>
  <c r="E178" i="1" s="1"/>
  <c r="B179" i="1"/>
  <c r="E179" i="1" s="1"/>
  <c r="B180" i="1"/>
  <c r="E180" i="1" s="1"/>
  <c r="B181" i="1"/>
  <c r="E181" i="1" s="1"/>
  <c r="B182" i="1"/>
  <c r="E182" i="1" s="1"/>
  <c r="B183" i="1"/>
  <c r="E183" i="1" s="1"/>
  <c r="B184" i="1"/>
  <c r="E184" i="1" s="1"/>
  <c r="B185" i="1"/>
  <c r="E185" i="1" s="1"/>
  <c r="B186" i="1"/>
  <c r="E186" i="1" s="1"/>
  <c r="B187" i="1"/>
  <c r="E187" i="1" s="1"/>
  <c r="B188" i="1"/>
  <c r="E188" i="1" s="1"/>
  <c r="B189" i="1"/>
  <c r="E189" i="1" s="1"/>
  <c r="B190" i="1"/>
  <c r="E190" i="1" s="1"/>
  <c r="B191" i="1"/>
  <c r="E191" i="1" s="1"/>
  <c r="B192" i="1"/>
  <c r="E192" i="1" s="1"/>
  <c r="B193" i="1"/>
  <c r="E193" i="1" s="1"/>
  <c r="B194" i="1"/>
  <c r="E194" i="1" s="1"/>
  <c r="B195" i="1"/>
  <c r="E195" i="1" s="1"/>
  <c r="B196" i="1"/>
  <c r="E196" i="1" s="1"/>
  <c r="B197" i="1"/>
  <c r="E197" i="1" s="1"/>
  <c r="B198" i="1"/>
  <c r="E198" i="1" s="1"/>
  <c r="B199" i="1"/>
  <c r="E199" i="1" s="1"/>
  <c r="B200" i="1"/>
  <c r="E200" i="1" s="1"/>
  <c r="B201" i="1"/>
  <c r="E201" i="1" s="1"/>
  <c r="B202" i="1"/>
  <c r="E202" i="1" s="1"/>
  <c r="B203" i="1"/>
  <c r="E203" i="1" s="1"/>
  <c r="B204" i="1"/>
  <c r="E204" i="1" s="1"/>
  <c r="B205" i="1"/>
  <c r="E205" i="1" s="1"/>
  <c r="B206" i="1"/>
  <c r="E206" i="1" s="1"/>
  <c r="B207" i="1"/>
  <c r="E207" i="1" s="1"/>
  <c r="B208" i="1"/>
  <c r="E208" i="1" s="1"/>
  <c r="B209" i="1"/>
  <c r="E209" i="1" s="1"/>
  <c r="B210" i="1"/>
  <c r="E210" i="1" s="1"/>
  <c r="B211" i="1"/>
  <c r="E211" i="1" s="1"/>
  <c r="B212" i="1"/>
  <c r="E212" i="1" s="1"/>
  <c r="B213" i="1"/>
  <c r="E213" i="1" s="1"/>
  <c r="B214" i="1"/>
  <c r="E214" i="1" s="1"/>
  <c r="B215" i="1"/>
  <c r="E215" i="1" s="1"/>
  <c r="B216" i="1"/>
  <c r="E216" i="1" s="1"/>
  <c r="B217" i="1"/>
  <c r="E217" i="1" s="1"/>
  <c r="B218" i="1"/>
  <c r="E218" i="1" s="1"/>
  <c r="B219" i="1"/>
  <c r="E219" i="1" s="1"/>
  <c r="B220" i="1"/>
  <c r="E220" i="1" s="1"/>
  <c r="B221" i="1"/>
  <c r="E221" i="1" s="1"/>
  <c r="B222" i="1"/>
  <c r="E222" i="1" s="1"/>
  <c r="B223" i="1"/>
  <c r="E223" i="1" s="1"/>
  <c r="B224" i="1"/>
  <c r="E224" i="1" s="1"/>
  <c r="B225" i="1"/>
  <c r="E225" i="1" s="1"/>
  <c r="B226" i="1"/>
  <c r="E226" i="1" s="1"/>
  <c r="B227" i="1"/>
  <c r="E227" i="1" s="1"/>
  <c r="B228" i="1"/>
  <c r="E228" i="1" s="1"/>
  <c r="B229" i="1"/>
  <c r="E229" i="1" s="1"/>
  <c r="B230" i="1"/>
  <c r="E230" i="1" s="1"/>
  <c r="B231" i="1"/>
  <c r="E231" i="1" s="1"/>
  <c r="B232" i="1"/>
  <c r="E232" i="1" s="1"/>
  <c r="B233" i="1"/>
  <c r="E233" i="1" s="1"/>
  <c r="B234" i="1"/>
  <c r="E234" i="1" s="1"/>
  <c r="B235" i="1"/>
  <c r="E235" i="1" s="1"/>
  <c r="B236" i="1"/>
  <c r="E236" i="1" s="1"/>
  <c r="B237" i="1"/>
  <c r="E237" i="1" s="1"/>
  <c r="B238" i="1"/>
  <c r="E238" i="1" s="1"/>
  <c r="B239" i="1"/>
  <c r="E239" i="1" s="1"/>
  <c r="B240" i="1"/>
  <c r="E240" i="1" s="1"/>
  <c r="B241" i="1"/>
  <c r="E241" i="1" s="1"/>
  <c r="B242" i="1"/>
  <c r="E242" i="1" s="1"/>
  <c r="B243" i="1"/>
  <c r="E243" i="1" s="1"/>
  <c r="B244" i="1"/>
  <c r="E244" i="1" s="1"/>
  <c r="B245" i="1"/>
  <c r="E245" i="1" s="1"/>
  <c r="B246" i="1"/>
  <c r="E246" i="1" s="1"/>
  <c r="B247" i="1"/>
  <c r="E247" i="1" s="1"/>
  <c r="B248" i="1"/>
  <c r="E248" i="1" s="1"/>
  <c r="B249" i="1"/>
  <c r="E249" i="1" s="1"/>
  <c r="B250" i="1"/>
  <c r="E250" i="1" s="1"/>
  <c r="B251" i="1"/>
  <c r="E251" i="1" s="1"/>
  <c r="B252" i="1"/>
  <c r="E252" i="1" s="1"/>
  <c r="B253" i="1"/>
  <c r="E253" i="1" s="1"/>
  <c r="B254" i="1"/>
  <c r="E254" i="1" s="1"/>
  <c r="B255" i="1"/>
  <c r="E255" i="1" s="1"/>
  <c r="B256" i="1"/>
  <c r="E256" i="1" s="1"/>
  <c r="B257" i="1"/>
  <c r="E257" i="1" s="1"/>
  <c r="B258" i="1"/>
  <c r="E258" i="1" s="1"/>
  <c r="B259" i="1"/>
  <c r="E259" i="1" s="1"/>
  <c r="B260" i="1"/>
  <c r="E260" i="1" s="1"/>
  <c r="B261" i="1"/>
  <c r="E261" i="1" s="1"/>
  <c r="B262" i="1"/>
  <c r="E262" i="1" s="1"/>
  <c r="B263" i="1"/>
  <c r="E263" i="1" s="1"/>
  <c r="B264" i="1"/>
  <c r="E264" i="1" s="1"/>
  <c r="B265" i="1"/>
  <c r="E265" i="1" s="1"/>
  <c r="B266" i="1"/>
  <c r="E266" i="1" s="1"/>
  <c r="B267" i="1"/>
  <c r="E267" i="1" s="1"/>
  <c r="B268" i="1"/>
  <c r="E268" i="1" s="1"/>
  <c r="B269" i="1"/>
  <c r="E269" i="1" s="1"/>
  <c r="B270" i="1"/>
  <c r="E270" i="1" s="1"/>
  <c r="B271" i="1"/>
  <c r="E271" i="1" s="1"/>
  <c r="B272" i="1"/>
  <c r="E272" i="1" s="1"/>
  <c r="B273" i="1"/>
  <c r="E273" i="1" s="1"/>
  <c r="B274" i="1"/>
  <c r="E274" i="1" s="1"/>
  <c r="B275" i="1"/>
  <c r="E275" i="1" s="1"/>
  <c r="B276" i="1"/>
  <c r="E276" i="1" s="1"/>
  <c r="B277" i="1"/>
  <c r="E277" i="1" s="1"/>
  <c r="B278" i="1"/>
  <c r="E278" i="1" s="1"/>
  <c r="B279" i="1"/>
  <c r="E279" i="1" s="1"/>
  <c r="B280" i="1"/>
  <c r="E280" i="1" s="1"/>
  <c r="B281" i="1"/>
  <c r="E281" i="1" s="1"/>
  <c r="B282" i="1"/>
  <c r="E282" i="1" s="1"/>
  <c r="B283" i="1"/>
  <c r="E283" i="1" s="1"/>
  <c r="B284" i="1"/>
  <c r="E284" i="1" s="1"/>
  <c r="B285" i="1"/>
  <c r="E285" i="1" s="1"/>
  <c r="B286" i="1"/>
  <c r="E286" i="1" s="1"/>
  <c r="B287" i="1"/>
  <c r="E287" i="1" s="1"/>
  <c r="B288" i="1"/>
  <c r="E288" i="1" s="1"/>
  <c r="B289" i="1"/>
  <c r="E289" i="1" s="1"/>
  <c r="B290" i="1"/>
  <c r="E290" i="1" s="1"/>
  <c r="B291" i="1"/>
  <c r="E291" i="1" s="1"/>
  <c r="B292" i="1"/>
  <c r="E292" i="1" s="1"/>
  <c r="B293" i="1"/>
  <c r="E293" i="1" s="1"/>
  <c r="B294" i="1"/>
  <c r="E294" i="1" s="1"/>
  <c r="B295" i="1"/>
  <c r="E295" i="1" s="1"/>
  <c r="B296" i="1"/>
  <c r="E296" i="1" s="1"/>
  <c r="B297" i="1"/>
  <c r="E297" i="1" s="1"/>
  <c r="B298" i="1"/>
  <c r="E298" i="1" s="1"/>
  <c r="B299" i="1"/>
  <c r="E299" i="1" s="1"/>
  <c r="B300" i="1"/>
  <c r="E300" i="1" s="1"/>
  <c r="B301" i="1"/>
  <c r="E301" i="1" s="1"/>
  <c r="B302" i="1"/>
  <c r="E302" i="1" s="1"/>
  <c r="B303" i="1"/>
  <c r="E303" i="1" s="1"/>
  <c r="B304" i="1"/>
  <c r="E304" i="1" s="1"/>
  <c r="B305" i="1"/>
  <c r="E305" i="1" s="1"/>
  <c r="B306" i="1"/>
  <c r="E306" i="1" s="1"/>
  <c r="B307" i="1"/>
  <c r="E307" i="1" s="1"/>
  <c r="B308" i="1"/>
  <c r="E308" i="1" s="1"/>
  <c r="B309" i="1"/>
  <c r="E309" i="1" s="1"/>
  <c r="B310" i="1"/>
  <c r="E310" i="1" s="1"/>
  <c r="B311" i="1"/>
  <c r="E311" i="1" s="1"/>
  <c r="B312" i="1"/>
  <c r="E312" i="1" s="1"/>
  <c r="B313" i="1"/>
  <c r="E313" i="1" s="1"/>
  <c r="B314" i="1"/>
  <c r="E314" i="1" s="1"/>
  <c r="B315" i="1"/>
  <c r="E315" i="1" s="1"/>
  <c r="B316" i="1"/>
  <c r="E316" i="1" s="1"/>
  <c r="B317" i="1"/>
  <c r="E317" i="1" s="1"/>
  <c r="B318" i="1"/>
  <c r="E318" i="1" s="1"/>
  <c r="B319" i="1"/>
  <c r="E319" i="1" s="1"/>
  <c r="B320" i="1"/>
  <c r="E320" i="1" s="1"/>
  <c r="B321" i="1"/>
  <c r="E321" i="1" s="1"/>
  <c r="B322" i="1"/>
  <c r="E322" i="1" s="1"/>
  <c r="B323" i="1"/>
  <c r="E323" i="1" s="1"/>
  <c r="B324" i="1"/>
  <c r="E324" i="1" s="1"/>
  <c r="B325" i="1"/>
  <c r="E325" i="1" s="1"/>
  <c r="B326" i="1"/>
  <c r="E326" i="1" s="1"/>
  <c r="B327" i="1"/>
  <c r="E327" i="1" s="1"/>
  <c r="B328" i="1"/>
  <c r="E328" i="1" s="1"/>
  <c r="B329" i="1"/>
  <c r="E329" i="1" s="1"/>
  <c r="B330" i="1"/>
  <c r="E330" i="1" s="1"/>
  <c r="B331" i="1"/>
  <c r="E331" i="1" s="1"/>
  <c r="B332" i="1"/>
  <c r="E332" i="1" s="1"/>
  <c r="B333" i="1"/>
  <c r="E333" i="1" s="1"/>
  <c r="B334" i="1"/>
  <c r="E334" i="1" s="1"/>
  <c r="B335" i="1"/>
  <c r="E335" i="1" s="1"/>
  <c r="B336" i="1"/>
  <c r="E336" i="1" s="1"/>
  <c r="B337" i="1"/>
  <c r="E337" i="1" s="1"/>
  <c r="B338" i="1"/>
  <c r="E338" i="1" s="1"/>
  <c r="B339" i="1"/>
  <c r="E339" i="1" s="1"/>
  <c r="B340" i="1"/>
  <c r="E340" i="1" s="1"/>
  <c r="B341" i="1"/>
  <c r="E341" i="1" s="1"/>
  <c r="B342" i="1"/>
  <c r="E342" i="1" s="1"/>
  <c r="B343" i="1"/>
  <c r="E343" i="1" s="1"/>
  <c r="B344" i="1"/>
  <c r="E344" i="1" s="1"/>
  <c r="B345" i="1"/>
  <c r="E345" i="1" s="1"/>
  <c r="B346" i="1"/>
  <c r="E346" i="1" s="1"/>
  <c r="B347" i="1"/>
  <c r="E347" i="1" s="1"/>
  <c r="B348" i="1"/>
  <c r="E348" i="1" s="1"/>
  <c r="B349" i="1"/>
  <c r="E349" i="1" s="1"/>
  <c r="B350" i="1"/>
  <c r="E350" i="1" s="1"/>
  <c r="B351" i="1"/>
  <c r="E351" i="1" s="1"/>
  <c r="B352" i="1"/>
  <c r="E352" i="1" s="1"/>
  <c r="B353" i="1"/>
  <c r="E353" i="1" s="1"/>
  <c r="B354" i="1"/>
  <c r="E354" i="1" s="1"/>
  <c r="B355" i="1"/>
  <c r="E355" i="1" s="1"/>
  <c r="B356" i="1"/>
  <c r="E356" i="1" s="1"/>
  <c r="B357" i="1"/>
  <c r="E357" i="1" s="1"/>
  <c r="B358" i="1"/>
  <c r="E358" i="1" s="1"/>
  <c r="B359" i="1"/>
  <c r="E359" i="1" s="1"/>
  <c r="B360" i="1"/>
  <c r="E360" i="1" s="1"/>
  <c r="B361" i="1"/>
  <c r="E361" i="1" s="1"/>
  <c r="B362" i="1"/>
  <c r="E362" i="1" s="1"/>
  <c r="B2" i="1"/>
  <c r="E2" i="1" s="1"/>
  <c r="F361" i="1" l="1"/>
  <c r="F353" i="1"/>
  <c r="F337" i="1"/>
  <c r="F329" i="1"/>
  <c r="F321" i="1"/>
  <c r="F313" i="1"/>
  <c r="F305" i="1"/>
  <c r="F297" i="1"/>
  <c r="F289" i="1"/>
  <c r="F281" i="1"/>
  <c r="F273" i="1"/>
  <c r="F265" i="1"/>
  <c r="F257" i="1"/>
  <c r="F249" i="1"/>
  <c r="F241" i="1"/>
  <c r="F233" i="1"/>
  <c r="F225" i="1"/>
  <c r="F217" i="1"/>
  <c r="F209" i="1"/>
  <c r="F201" i="1"/>
  <c r="F193" i="1"/>
  <c r="F185" i="1"/>
  <c r="F177" i="1"/>
  <c r="F169" i="1"/>
  <c r="F161" i="1"/>
  <c r="F153" i="1"/>
  <c r="F145" i="1"/>
  <c r="F137" i="1"/>
  <c r="F129" i="1"/>
  <c r="F121" i="1"/>
  <c r="F113" i="1"/>
  <c r="F105" i="1"/>
  <c r="F97" i="1"/>
  <c r="F89" i="1"/>
  <c r="F81" i="1"/>
  <c r="F73" i="1"/>
  <c r="F65" i="1"/>
  <c r="F57" i="1"/>
  <c r="F49" i="1"/>
  <c r="F41" i="1"/>
  <c r="F9" i="1"/>
  <c r="F360" i="1"/>
  <c r="F352" i="1"/>
  <c r="F344" i="1"/>
  <c r="F336" i="1"/>
  <c r="F328" i="1"/>
  <c r="F320" i="1"/>
  <c r="F312" i="1"/>
  <c r="F304" i="1"/>
  <c r="F296" i="1"/>
  <c r="F288" i="1"/>
  <c r="F280" i="1"/>
  <c r="F272" i="1"/>
  <c r="F264" i="1"/>
  <c r="F256" i="1"/>
  <c r="F248" i="1"/>
  <c r="F240" i="1"/>
  <c r="F232" i="1"/>
  <c r="F224" i="1"/>
  <c r="F216" i="1"/>
  <c r="F208" i="1"/>
  <c r="F200" i="1"/>
  <c r="F192" i="1"/>
  <c r="F184" i="1"/>
  <c r="F176" i="1"/>
  <c r="F168" i="1"/>
  <c r="F160" i="1"/>
  <c r="F152" i="1"/>
  <c r="F144" i="1"/>
  <c r="F136" i="1"/>
  <c r="F128" i="1"/>
  <c r="F120" i="1"/>
  <c r="F112" i="1"/>
  <c r="F104" i="1"/>
  <c r="F96" i="1"/>
  <c r="F88" i="1"/>
  <c r="F80" i="1"/>
  <c r="F72" i="1"/>
  <c r="F64" i="1"/>
  <c r="F56" i="1"/>
  <c r="F48" i="1"/>
  <c r="F40" i="1"/>
  <c r="F32" i="1"/>
  <c r="F24" i="1"/>
  <c r="F16" i="1"/>
  <c r="F8" i="1"/>
  <c r="F359" i="1"/>
  <c r="F351" i="1"/>
  <c r="F343" i="1"/>
  <c r="F335" i="1"/>
  <c r="F327" i="1"/>
  <c r="F319" i="1"/>
  <c r="F311" i="1"/>
  <c r="F303" i="1"/>
  <c r="F295" i="1"/>
  <c r="F287" i="1"/>
  <c r="F279" i="1"/>
  <c r="F271" i="1"/>
  <c r="F263" i="1"/>
  <c r="F255" i="1"/>
  <c r="F247" i="1"/>
  <c r="F239" i="1"/>
  <c r="F231" i="1"/>
  <c r="F223" i="1"/>
  <c r="F215" i="1"/>
  <c r="F207" i="1"/>
  <c r="F199" i="1"/>
  <c r="F191" i="1"/>
  <c r="F183" i="1"/>
  <c r="F175" i="1"/>
  <c r="F167" i="1"/>
  <c r="F159" i="1"/>
  <c r="F151" i="1"/>
  <c r="F143" i="1"/>
  <c r="F135" i="1"/>
  <c r="F127" i="1"/>
  <c r="F119" i="1"/>
  <c r="F111" i="1"/>
  <c r="F103" i="1"/>
  <c r="F95" i="1"/>
  <c r="F87" i="1"/>
  <c r="F79" i="1"/>
  <c r="F71" i="1"/>
  <c r="F63" i="1"/>
  <c r="F55" i="1"/>
  <c r="F47" i="1"/>
  <c r="F39" i="1"/>
  <c r="F31" i="1"/>
  <c r="F23" i="1"/>
  <c r="F15" i="1"/>
  <c r="F7" i="1"/>
  <c r="F33" i="1"/>
  <c r="F357" i="1"/>
  <c r="F349" i="1"/>
  <c r="F341" i="1"/>
  <c r="F333" i="1"/>
  <c r="F325" i="1"/>
  <c r="F317" i="1"/>
  <c r="F309" i="1"/>
  <c r="F301" i="1"/>
  <c r="F293" i="1"/>
  <c r="F285" i="1"/>
  <c r="F277" i="1"/>
  <c r="F269" i="1"/>
  <c r="F261" i="1"/>
  <c r="F253" i="1"/>
  <c r="F245" i="1"/>
  <c r="F237" i="1"/>
  <c r="F229" i="1"/>
  <c r="F221" i="1"/>
  <c r="F213" i="1"/>
  <c r="F205" i="1"/>
  <c r="F197" i="1"/>
  <c r="F189" i="1"/>
  <c r="F181" i="1"/>
  <c r="F173" i="1"/>
  <c r="F165" i="1"/>
  <c r="F157" i="1"/>
  <c r="F149" i="1"/>
  <c r="F141" i="1"/>
  <c r="F133" i="1"/>
  <c r="F125" i="1"/>
  <c r="F117" i="1"/>
  <c r="F109" i="1"/>
  <c r="F101" i="1"/>
  <c r="F93" i="1"/>
  <c r="F85" i="1"/>
  <c r="F77" i="1"/>
  <c r="F69" i="1"/>
  <c r="F61" i="1"/>
  <c r="F53" i="1"/>
  <c r="F45" i="1"/>
  <c r="F37" i="1"/>
  <c r="F29" i="1"/>
  <c r="F21" i="1"/>
  <c r="F13" i="1"/>
  <c r="F5" i="1"/>
  <c r="F345" i="1"/>
  <c r="F17" i="1"/>
  <c r="F356" i="1"/>
  <c r="F348" i="1"/>
  <c r="F340" i="1"/>
  <c r="F332" i="1"/>
  <c r="F324" i="1"/>
  <c r="F316" i="1"/>
  <c r="F308" i="1"/>
  <c r="F300" i="1"/>
  <c r="F292" i="1"/>
  <c r="F284" i="1"/>
  <c r="F276" i="1"/>
  <c r="F268" i="1"/>
  <c r="F260" i="1"/>
  <c r="F252" i="1"/>
  <c r="F244" i="1"/>
  <c r="F236" i="1"/>
  <c r="F228" i="1"/>
  <c r="F220" i="1"/>
  <c r="F212" i="1"/>
  <c r="F204" i="1"/>
  <c r="F196" i="1"/>
  <c r="F188" i="1"/>
  <c r="F180" i="1"/>
  <c r="F172" i="1"/>
  <c r="F164" i="1"/>
  <c r="F156" i="1"/>
  <c r="F148" i="1"/>
  <c r="F140" i="1"/>
  <c r="F132" i="1"/>
  <c r="F124" i="1"/>
  <c r="F116" i="1"/>
  <c r="F108" i="1"/>
  <c r="F100" i="1"/>
  <c r="F92" i="1"/>
  <c r="F84" i="1"/>
  <c r="F76" i="1"/>
  <c r="F68" i="1"/>
  <c r="F60" i="1"/>
  <c r="F52" i="1"/>
  <c r="F44" i="1"/>
  <c r="F36" i="1"/>
  <c r="F28" i="1"/>
  <c r="F20" i="1"/>
  <c r="F12" i="1"/>
  <c r="F4" i="1"/>
  <c r="F25" i="1"/>
  <c r="F2" i="1"/>
  <c r="F355" i="1"/>
  <c r="F347" i="1"/>
  <c r="F339" i="1"/>
  <c r="F331" i="1"/>
  <c r="F323" i="1"/>
  <c r="F315" i="1"/>
  <c r="F307" i="1"/>
  <c r="F299" i="1"/>
  <c r="F291" i="1"/>
  <c r="F283" i="1"/>
  <c r="F275" i="1"/>
  <c r="F267" i="1"/>
  <c r="F259" i="1"/>
  <c r="F251" i="1"/>
  <c r="F243" i="1"/>
  <c r="F235" i="1"/>
  <c r="F227" i="1"/>
  <c r="F219" i="1"/>
  <c r="F211" i="1"/>
  <c r="F203" i="1"/>
  <c r="F195" i="1"/>
  <c r="F187" i="1"/>
  <c r="F179" i="1"/>
  <c r="F171" i="1"/>
  <c r="F163" i="1"/>
  <c r="F155" i="1"/>
  <c r="F147" i="1"/>
  <c r="F139" i="1"/>
  <c r="F131" i="1"/>
  <c r="F123" i="1"/>
  <c r="F115" i="1"/>
  <c r="F107" i="1"/>
  <c r="F99" i="1"/>
  <c r="F91" i="1"/>
  <c r="F83" i="1"/>
  <c r="F75" i="1"/>
  <c r="F67" i="1"/>
  <c r="F59" i="1"/>
  <c r="F51" i="1"/>
  <c r="F43" i="1"/>
  <c r="F35" i="1"/>
  <c r="F27" i="1"/>
  <c r="F19" i="1"/>
  <c r="F11" i="1"/>
  <c r="F3" i="1"/>
</calcChain>
</file>

<file path=xl/sharedStrings.xml><?xml version="1.0" encoding="utf-8"?>
<sst xmlns="http://schemas.openxmlformats.org/spreadsheetml/2006/main" count="6" uniqueCount="6">
  <si>
    <t>角度</t>
    <phoneticPr fontId="1"/>
  </si>
  <si>
    <t>ラジアン</t>
    <phoneticPr fontId="1"/>
  </si>
  <si>
    <t>基礎円</t>
    <phoneticPr fontId="1"/>
  </si>
  <si>
    <t>x</t>
    <phoneticPr fontId="1"/>
  </si>
  <si>
    <t>y</t>
    <phoneticPr fontId="1"/>
  </si>
  <si>
    <t>y（θ）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</si>
</sst>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charset val="128"/>
      <scheme val="minor"/>
    </font>
    <font>
      <sz val="6"/>
      <name val="宋体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930446194225721E-2"/>
          <c:y val="3.5325509880441829E-2"/>
          <c:w val="0.89238910761154855"/>
          <c:h val="0.93518669185616243"/>
        </c:manualLayout>
      </c:layout>
      <c:scatterChart>
        <c:scatterStyle val="smoothMarker"/>
        <c:varyColors val="0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Sheet1!$E$2:$E$362</c:f>
              <c:numCache>
                <c:formatCode>General</c:formatCode>
                <c:ptCount val="361"/>
                <c:pt idx="0">
                  <c:v>0</c:v>
                </c:pt>
                <c:pt idx="1">
                  <c:v>0.69812283835167066</c:v>
                </c:pt>
                <c:pt idx="2">
                  <c:v>1.3961924664044221</c:v>
                </c:pt>
                <c:pt idx="3">
                  <c:v>2.0941554958089239</c:v>
                </c:pt>
                <c:pt idx="4">
                  <c:v>2.7919581824059381</c:v>
                </c:pt>
                <c:pt idx="5">
                  <c:v>3.4895462490482569</c:v>
                </c:pt>
                <c:pt idx="6">
                  <c:v>4.186864709293876</c:v>
                </c:pt>
                <c:pt idx="7">
                  <c:v>4.8838576922590349</c:v>
                </c:pt>
                <c:pt idx="8">
                  <c:v>5.5804682689182759</c:v>
                </c:pt>
                <c:pt idx="9">
                  <c:v>6.2766382801368064</c:v>
                </c:pt>
                <c:pt idx="10">
                  <c:v>6.9723081667181726</c:v>
                </c:pt>
                <c:pt idx="11">
                  <c:v>7.6674168017476809</c:v>
                </c:pt>
                <c:pt idx="12">
                  <c:v>8.3619013255089651</c:v>
                </c:pt>
                <c:pt idx="13">
                  <c:v>9.0556969832478629</c:v>
                </c:pt>
                <c:pt idx="14">
                  <c:v>9.7487369660539329</c:v>
                </c:pt>
                <c:pt idx="15">
                  <c:v>10.440952255126037</c:v>
                </c:pt>
                <c:pt idx="16">
                  <c:v>11.132271469683934</c:v>
                </c:pt>
                <c:pt idx="17">
                  <c:v>11.822620718783103</c:v>
                </c:pt>
                <c:pt idx="18">
                  <c:v>12.511923457285004</c:v>
                </c:pt>
                <c:pt idx="19">
                  <c:v>13.20010034622954</c:v>
                </c:pt>
                <c:pt idx="20">
                  <c:v>13.887069117850739</c:v>
                </c:pt>
                <c:pt idx="21">
                  <c:v>14.572744445470722</c:v>
                </c:pt>
                <c:pt idx="22">
                  <c:v>15.257037818500613</c:v>
                </c:pt>
                <c:pt idx="23">
                  <c:v>15.939857422770432</c:v>
                </c:pt>
                <c:pt idx="24">
                  <c:v>16.621108026403039</c:v>
                </c:pt>
                <c:pt idx="25">
                  <c:v>17.300690871440082</c:v>
                </c:pt>
                <c:pt idx="26">
                  <c:v>17.978503571420259</c:v>
                </c:pt>
                <c:pt idx="27">
                  <c:v>18.654440015102601</c:v>
                </c:pt>
                <c:pt idx="28">
                  <c:v>19.328390276519333</c:v>
                </c:pt>
                <c:pt idx="29">
                  <c:v>20.000240531534722</c:v>
                </c:pt>
                <c:pt idx="30">
                  <c:v>20.669872981077802</c:v>
                </c:pt>
                <c:pt idx="31">
                  <c:v>21.337165781208071</c:v>
                </c:pt>
                <c:pt idx="32">
                  <c:v>22.00199298016441</c:v>
                </c:pt>
                <c:pt idx="33">
                  <c:v>22.66422446253835</c:v>
                </c:pt>
                <c:pt idx="34">
                  <c:v>23.323725900703405</c:v>
                </c:pt>
                <c:pt idx="35">
                  <c:v>23.98035871362276</c:v>
                </c:pt>
                <c:pt idx="36">
                  <c:v>24.633980033147889</c:v>
                </c:pt>
                <c:pt idx="37">
                  <c:v>25.284442677910821</c:v>
                </c:pt>
                <c:pt idx="38">
                  <c:v>25.931595134902928</c:v>
                </c:pt>
                <c:pt idx="39">
                  <c:v>26.575281548822844</c:v>
                </c:pt>
                <c:pt idx="40">
                  <c:v>27.215341719265922</c:v>
                </c:pt>
                <c:pt idx="41">
                  <c:v>27.851611105817504</c:v>
                </c:pt>
                <c:pt idx="42">
                  <c:v>28.483920841101547</c:v>
                </c:pt>
                <c:pt idx="43">
                  <c:v>29.112097751825804</c:v>
                </c:pt>
                <c:pt idx="44">
                  <c:v>29.735964387854384</c:v>
                </c:pt>
                <c:pt idx="45">
                  <c:v>30.355339059327374</c:v>
                </c:pt>
                <c:pt idx="46">
                  <c:v>30.970035881837074</c:v>
                </c:pt>
                <c:pt idx="47">
                  <c:v>31.5798648296594</c:v>
                </c:pt>
                <c:pt idx="48">
                  <c:v>32.184631797028338</c:v>
                </c:pt>
                <c:pt idx="49">
                  <c:v>32.784138667430753</c:v>
                </c:pt>
                <c:pt idx="50">
                  <c:v>33.378183390887862</c:v>
                </c:pt>
                <c:pt idx="51">
                  <c:v>33.966560069179508</c:v>
                </c:pt>
                <c:pt idx="52">
                  <c:v>34.549059048956117</c:v>
                </c:pt>
                <c:pt idx="53">
                  <c:v>35.125467022673043</c:v>
                </c:pt>
                <c:pt idx="54">
                  <c:v>35.695567137271603</c:v>
                </c:pt>
                <c:pt idx="55">
                  <c:v>36.259139110520046</c:v>
                </c:pt>
                <c:pt idx="56">
                  <c:v>36.815959354918149</c:v>
                </c:pt>
                <c:pt idx="57">
                  <c:v>37.365801109058189</c:v>
                </c:pt>
                <c:pt idx="58">
                  <c:v>37.908434576325469</c:v>
                </c:pt>
                <c:pt idx="59">
                  <c:v>38.443627070810976</c:v>
                </c:pt>
                <c:pt idx="60">
                  <c:v>38.97114317029974</c:v>
                </c:pt>
                <c:pt idx="61">
                  <c:v>39.490744876187655</c:v>
                </c:pt>
                <c:pt idx="62">
                  <c:v>40.002191780171131</c:v>
                </c:pt>
                <c:pt idx="63">
                  <c:v>40.50524123754365</c:v>
                </c:pt>
                <c:pt idx="64">
                  <c:v>40.999648546924739</c:v>
                </c:pt>
                <c:pt idx="65">
                  <c:v>41.485167136237607</c:v>
                </c:pt>
                <c:pt idx="66">
                  <c:v>41.961548754743077</c:v>
                </c:pt>
                <c:pt idx="67">
                  <c:v>42.428543670928754</c:v>
                </c:pt>
                <c:pt idx="68">
                  <c:v>42.885900876044388</c:v>
                </c:pt>
                <c:pt idx="69">
                  <c:v>43.333368293065796</c:v>
                </c:pt>
                <c:pt idx="70">
                  <c:v>43.77069299086272</c:v>
                </c:pt>
                <c:pt idx="71">
                  <c:v>44.19762140333755</c:v>
                </c:pt>
                <c:pt idx="72">
                  <c:v>44.613899553295312</c:v>
                </c:pt>
                <c:pt idx="73">
                  <c:v>45.019273280798032</c:v>
                </c:pt>
                <c:pt idx="74">
                  <c:v>45.413488475749922</c:v>
                </c:pt>
                <c:pt idx="75">
                  <c:v>45.79629131445342</c:v>
                </c:pt>
                <c:pt idx="76">
                  <c:v>46.167428499870368</c:v>
                </c:pt>
                <c:pt idx="77">
                  <c:v>46.526647505316376</c:v>
                </c:pt>
                <c:pt idx="78">
                  <c:v>46.873696821311277</c:v>
                </c:pt>
                <c:pt idx="79">
                  <c:v>47.208326205303642</c:v>
                </c:pt>
                <c:pt idx="80">
                  <c:v>47.530286933982055</c:v>
                </c:pt>
                <c:pt idx="81">
                  <c:v>47.839332057882146</c:v>
                </c:pt>
                <c:pt idx="82">
                  <c:v>48.135216657993517</c:v>
                </c:pt>
                <c:pt idx="83">
                  <c:v>48.41769810406776</c:v>
                </c:pt>
                <c:pt idx="84">
                  <c:v>48.686536314324869</c:v>
                </c:pt>
                <c:pt idx="85">
                  <c:v>48.941494016252626</c:v>
                </c:pt>
                <c:pt idx="86">
                  <c:v>49.182337008190878</c:v>
                </c:pt>
                <c:pt idx="87">
                  <c:v>49.408834421390424</c:v>
                </c:pt>
                <c:pt idx="88">
                  <c:v>49.620758982234165</c:v>
                </c:pt>
                <c:pt idx="89">
                  <c:v>49.817887274307061</c:v>
                </c:pt>
                <c:pt idx="90">
                  <c:v>50</c:v>
                </c:pt>
                <c:pt idx="91">
                  <c:v>50.325667322871688</c:v>
                </c:pt>
                <c:pt idx="92">
                  <c:v>50.635801902300855</c:v>
                </c:pt>
                <c:pt idx="93">
                  <c:v>50.930106272483265</c:v>
                </c:pt>
                <c:pt idx="94">
                  <c:v>51.208287913337635</c:v>
                </c:pt>
                <c:pt idx="95">
                  <c:v>51.470059401406857</c:v>
                </c:pt>
                <c:pt idx="96">
                  <c:v>51.715138559150219</c:v>
                </c:pt>
                <c:pt idx="97">
                  <c:v>51.943248602562527</c:v>
                </c:pt>
                <c:pt idx="98">
                  <c:v>52.154118287056036</c:v>
                </c:pt>
                <c:pt idx="99">
                  <c:v>52.347482051542293</c:v>
                </c:pt>
                <c:pt idx="100">
                  <c:v>52.523080160651098</c:v>
                </c:pt>
                <c:pt idx="101">
                  <c:v>52.680658845024631</c:v>
                </c:pt>
                <c:pt idx="102">
                  <c:v>52.819970439625507</c:v>
                </c:pt>
                <c:pt idx="103">
                  <c:v>52.940773519997784</c:v>
                </c:pt>
                <c:pt idx="104">
                  <c:v>53.042833036421136</c:v>
                </c:pt>
                <c:pt idx="105">
                  <c:v>53.125920445898757</c:v>
                </c:pt>
                <c:pt idx="106">
                  <c:v>53.189813841920312</c:v>
                </c:pt>
                <c:pt idx="107">
                  <c:v>53.234298081942313</c:v>
                </c:pt>
                <c:pt idx="108">
                  <c:v>53.259164912528604</c:v>
                </c:pt>
                <c:pt idx="109">
                  <c:v>53.264213092094849</c:v>
                </c:pt>
                <c:pt idx="110">
                  <c:v>53.249248511201472</c:v>
                </c:pt>
                <c:pt idx="111">
                  <c:v>53.214084310340496</c:v>
                </c:pt>
                <c:pt idx="112">
                  <c:v>53.158540995162483</c:v>
                </c:pt>
                <c:pt idx="113">
                  <c:v>53.082446549090726</c:v>
                </c:pt>
                <c:pt idx="114">
                  <c:v>52.985636543270857</c:v>
                </c:pt>
                <c:pt idx="115">
                  <c:v>52.86795424380459</c:v>
                </c:pt>
                <c:pt idx="116">
                  <c:v>52.729250716217791</c:v>
                </c:pt>
                <c:pt idx="117">
                  <c:v>52.569384927113703</c:v>
                </c:pt>
                <c:pt idx="118">
                  <c:v>52.388223842963008</c:v>
                </c:pt>
                <c:pt idx="119">
                  <c:v>52.185642525983951</c:v>
                </c:pt>
                <c:pt idx="120">
                  <c:v>51.96152422706632</c:v>
                </c:pt>
                <c:pt idx="121">
                  <c:v>51.715760475694111</c:v>
                </c:pt>
                <c:pt idx="122">
                  <c:v>51.448251166823177</c:v>
                </c:pt>
                <c:pt idx="123">
                  <c:v>51.158904644670862</c:v>
                </c:pt>
                <c:pt idx="124">
                  <c:v>50.847637783375895</c:v>
                </c:pt>
                <c:pt idx="125">
                  <c:v>50.514376064487841</c:v>
                </c:pt>
                <c:pt idx="126">
                  <c:v>50.159053651246744</c:v>
                </c:pt>
                <c:pt idx="127">
                  <c:v>49.781613459614583</c:v>
                </c:pt>
                <c:pt idx="128">
                  <c:v>49.382007226021244</c:v>
                </c:pt>
                <c:pt idx="129">
                  <c:v>48.960195571789171</c:v>
                </c:pt>
                <c:pt idx="130">
                  <c:v>48.516148064201943</c:v>
                </c:pt>
                <c:pt idx="131">
                  <c:v>48.049843274183132</c:v>
                </c:pt>
                <c:pt idx="132">
                  <c:v>47.561268830553232</c:v>
                </c:pt>
                <c:pt idx="133">
                  <c:v>47.050421470833314</c:v>
                </c:pt>
                <c:pt idx="134">
                  <c:v>46.51730708856612</c:v>
                </c:pt>
                <c:pt idx="135">
                  <c:v>45.961940777125591</c:v>
                </c:pt>
                <c:pt idx="136">
                  <c:v>45.384346869987823</c:v>
                </c:pt>
                <c:pt idx="137">
                  <c:v>44.784558977437399</c:v>
                </c:pt>
                <c:pt idx="138">
                  <c:v>44.162620019684653</c:v>
                </c:pt>
                <c:pt idx="139">
                  <c:v>43.518582256370323</c:v>
                </c:pt>
                <c:pt idx="140">
                  <c:v>42.852507312435961</c:v>
                </c:pt>
                <c:pt idx="141">
                  <c:v>42.164466200339128</c:v>
                </c:pt>
                <c:pt idx="142">
                  <c:v>41.454539338594337</c:v>
                </c:pt>
                <c:pt idx="143">
                  <c:v>40.722816566621923</c:v>
                </c:pt>
                <c:pt idx="144">
                  <c:v>39.969397155888181</c:v>
                </c:pt>
                <c:pt idx="145">
                  <c:v>39.194389817321508</c:v>
                </c:pt>
                <c:pt idx="146">
                  <c:v>38.397912704991285</c:v>
                </c:pt>
                <c:pt idx="147">
                  <c:v>37.58009341603686</c:v>
                </c:pt>
                <c:pt idx="148">
                  <c:v>36.741068986835543</c:v>
                </c:pt>
                <c:pt idx="149">
                  <c:v>35.880985885400449</c:v>
                </c:pt>
                <c:pt idx="150">
                  <c:v>34.999999999999993</c:v>
                </c:pt>
                <c:pt idx="151">
                  <c:v>33.775070210494818</c:v>
                </c:pt>
                <c:pt idx="152">
                  <c:v>32.55002835315512</c:v>
                </c:pt>
                <c:pt idx="153">
                  <c:v>31.325344482028733</c:v>
                </c:pt>
                <c:pt idx="154">
                  <c:v>30.101485412849971</c:v>
                </c:pt>
                <c:pt idx="155">
                  <c:v>28.878914552281135</c:v>
                </c:pt>
                <c:pt idx="156">
                  <c:v>27.658091729154428</c:v>
                </c:pt>
                <c:pt idx="157">
                  <c:v>26.439473027774213</c:v>
                </c:pt>
                <c:pt idx="158">
                  <c:v>25.223510623338093</c:v>
                </c:pt>
                <c:pt idx="159">
                  <c:v>24.010652619535115</c:v>
                </c:pt>
                <c:pt idx="160">
                  <c:v>22.801342888377921</c:v>
                </c:pt>
                <c:pt idx="161">
                  <c:v>21.596020912324754</c:v>
                </c:pt>
                <c:pt idx="162">
                  <c:v>20.395121628746537</c:v>
                </c:pt>
                <c:pt idx="163">
                  <c:v>19.199075276793064</c:v>
                </c:pt>
                <c:pt idx="164">
                  <c:v>18.008307246710647</c:v>
                </c:pt>
                <c:pt idx="165">
                  <c:v>16.823237931663865</c:v>
                </c:pt>
                <c:pt idx="166">
                  <c:v>15.644282582111844</c:v>
                </c:pt>
                <c:pt idx="167">
                  <c:v>14.471851162788637</c:v>
                </c:pt>
                <c:pt idx="168">
                  <c:v>13.306348212336596</c:v>
                </c:pt>
                <c:pt idx="169">
                  <c:v>12.148172705640029</c:v>
                </c:pt>
                <c:pt idx="170">
                  <c:v>10.997717918905584</c:v>
                </c:pt>
                <c:pt idx="171">
                  <c:v>9.8553712975345515</c:v>
                </c:pt>
                <c:pt idx="172">
                  <c:v>8.7215143268307855</c:v>
                </c:pt>
                <c:pt idx="173">
                  <c:v>7.5965224055875309</c:v>
                </c:pt>
                <c:pt idx="174">
                  <c:v>6.4807647225945315</c:v>
                </c:pt>
                <c:pt idx="175">
                  <c:v>5.3746041361056154</c:v>
                </c:pt>
                <c:pt idx="176">
                  <c:v>4.2783970563063658</c:v>
                </c:pt>
                <c:pt idx="177">
                  <c:v>3.1924933308195724</c:v>
                </c:pt>
                <c:pt idx="178">
                  <c:v>2.1172361332850422</c:v>
                </c:pt>
                <c:pt idx="179">
                  <c:v>1.0529618550494342</c:v>
                </c:pt>
                <c:pt idx="180">
                  <c:v>7.3508907294517201E-15</c:v>
                </c:pt>
                <c:pt idx="181">
                  <c:v>-1.0413269174245638</c:v>
                </c:pt>
                <c:pt idx="182">
                  <c:v>-2.0707034710150536</c:v>
                </c:pt>
                <c:pt idx="183">
                  <c:v>-3.0878214183336699</c:v>
                </c:pt>
                <c:pt idx="184">
                  <c:v>-4.0923797929886563</c:v>
                </c:pt>
                <c:pt idx="185">
                  <c:v>-5.0840849936133798</c:v>
                </c:pt>
                <c:pt idx="186">
                  <c:v>-6.0626508695238774</c:v>
                </c:pt>
                <c:pt idx="187">
                  <c:v>-7.0277988030301861</c:v>
                </c:pt>
                <c:pt idx="188">
                  <c:v>-7.9792577883770903</c:v>
                </c:pt>
                <c:pt idx="189">
                  <c:v>-8.9167645072931521</c:v>
                </c:pt>
                <c:pt idx="190">
                  <c:v>-9.8400634011260593</c:v>
                </c:pt>
                <c:pt idx="191">
                  <c:v>-10.748906739545353</c:v>
                </c:pt>
                <c:pt idx="192">
                  <c:v>-11.643054685794507</c:v>
                </c:pt>
                <c:pt idx="193">
                  <c:v>-12.52227535847515</c:v>
                </c:pt>
                <c:pt idx="194">
                  <c:v>-13.386344889848267</c:v>
                </c:pt>
                <c:pt idx="195">
                  <c:v>-14.235047480638618</c:v>
                </c:pt>
                <c:pt idx="196">
                  <c:v>-15.06817545132928</c:v>
                </c:pt>
                <c:pt idx="197">
                  <c:v>-15.885529289935342</c:v>
                </c:pt>
                <c:pt idx="198">
                  <c:v>-16.686917696247178</c:v>
                </c:pt>
                <c:pt idx="199">
                  <c:v>-17.47215762253408</c:v>
                </c:pt>
                <c:pt idx="200">
                  <c:v>-18.241074310702327</c:v>
                </c:pt>
                <c:pt idx="201">
                  <c:v>-18.993501325900922</c:v>
                </c:pt>
                <c:pt idx="202">
                  <c:v>-19.729280586571367</c:v>
                </c:pt>
                <c:pt idx="203">
                  <c:v>-20.448262390938648</c:v>
                </c:pt>
                <c:pt idx="204">
                  <c:v>-21.15030543994159</c:v>
                </c:pt>
                <c:pt idx="205">
                  <c:v>-21.835276856602796</c:v>
                </c:pt>
                <c:pt idx="206">
                  <c:v>-22.503052201839289</c:v>
                </c:pt>
                <c:pt idx="207">
                  <c:v>-23.153515486716859</c:v>
                </c:pt>
                <c:pt idx="208">
                  <c:v>-23.786559181151805</c:v>
                </c:pt>
                <c:pt idx="209">
                  <c:v>-24.402084219065625</c:v>
                </c:pt>
                <c:pt idx="210">
                  <c:v>-25.000000000000007</c:v>
                </c:pt>
                <c:pt idx="211">
                  <c:v>-25.923583103806056</c:v>
                </c:pt>
                <c:pt idx="212">
                  <c:v>-26.849242721149047</c:v>
                </c:pt>
                <c:pt idx="213">
                  <c:v>-27.776590785766381</c:v>
                </c:pt>
                <c:pt idx="214">
                  <c:v>-28.705235711498329</c:v>
                </c:pt>
                <c:pt idx="215">
                  <c:v>-29.634782544804036</c:v>
                </c:pt>
                <c:pt idx="216">
                  <c:v>-30.564833119208597</c:v>
                </c:pt>
                <c:pt idx="217">
                  <c:v>-31.494986211623846</c:v>
                </c:pt>
                <c:pt idx="218">
                  <c:v>-32.424837700484652</c:v>
                </c:pt>
                <c:pt idx="219">
                  <c:v>-33.353980725641392</c:v>
                </c:pt>
                <c:pt idx="220">
                  <c:v>-34.28200584994876</c:v>
                </c:pt>
                <c:pt idx="221">
                  <c:v>-35.208501222490568</c:v>
                </c:pt>
                <c:pt idx="222">
                  <c:v>-36.133052743378343</c:v>
                </c:pt>
                <c:pt idx="223">
                  <c:v>-37.055244230062407</c:v>
                </c:pt>
                <c:pt idx="224">
                  <c:v>-37.974657585091862</c:v>
                </c:pt>
                <c:pt idx="225">
                  <c:v>-38.890872965260108</c:v>
                </c:pt>
                <c:pt idx="226">
                  <c:v>-39.803468952072009</c:v>
                </c:pt>
                <c:pt idx="227">
                  <c:v>-40.712022723467143</c:v>
                </c:pt>
                <c:pt idx="228">
                  <c:v>-41.616110226734065</c:v>
                </c:pt>
                <c:pt idx="229">
                  <c:v>-42.515306352549466</c:v>
                </c:pt>
                <c:pt idx="230">
                  <c:v>-43.40918511007542</c:v>
                </c:pt>
                <c:pt idx="231">
                  <c:v>-44.297319803047351</c:v>
                </c:pt>
                <c:pt idx="232">
                  <c:v>-45.179283206785399</c:v>
                </c:pt>
                <c:pt idx="233">
                  <c:v>-46.05464774606056</c:v>
                </c:pt>
                <c:pt idx="234">
                  <c:v>-46.922985673746943</c:v>
                </c:pt>
                <c:pt idx="235">
                  <c:v>-47.783869250191174</c:v>
                </c:pt>
                <c:pt idx="236">
                  <c:v>-48.636870923229097</c:v>
                </c:pt>
                <c:pt idx="237">
                  <c:v>-49.48156350878002</c:v>
                </c:pt>
                <c:pt idx="238">
                  <c:v>-50.317520371947936</c:v>
                </c:pt>
                <c:pt idx="239">
                  <c:v>-51.14431560855936</c:v>
                </c:pt>
                <c:pt idx="240">
                  <c:v>-51.961524227066306</c:v>
                </c:pt>
                <c:pt idx="241">
                  <c:v>-52.185642525983965</c:v>
                </c:pt>
                <c:pt idx="242">
                  <c:v>-52.388223842962994</c:v>
                </c:pt>
                <c:pt idx="243">
                  <c:v>-52.569384927113703</c:v>
                </c:pt>
                <c:pt idx="244">
                  <c:v>-52.729250716217791</c:v>
                </c:pt>
                <c:pt idx="245">
                  <c:v>-52.867954243804562</c:v>
                </c:pt>
                <c:pt idx="246">
                  <c:v>-52.985636543270857</c:v>
                </c:pt>
                <c:pt idx="247">
                  <c:v>-53.082446549090726</c:v>
                </c:pt>
                <c:pt idx="248">
                  <c:v>-53.158540995162468</c:v>
                </c:pt>
                <c:pt idx="249">
                  <c:v>-53.214084310340496</c:v>
                </c:pt>
                <c:pt idx="250">
                  <c:v>-53.249248511201472</c:v>
                </c:pt>
                <c:pt idx="251">
                  <c:v>-53.264213092094842</c:v>
                </c:pt>
                <c:pt idx="252">
                  <c:v>-53.259164912528597</c:v>
                </c:pt>
                <c:pt idx="253">
                  <c:v>-53.234298081942306</c:v>
                </c:pt>
                <c:pt idx="254">
                  <c:v>-53.189813841920312</c:v>
                </c:pt>
                <c:pt idx="255">
                  <c:v>-53.125920445898757</c:v>
                </c:pt>
                <c:pt idx="256">
                  <c:v>-53.042833036421143</c:v>
                </c:pt>
                <c:pt idx="257">
                  <c:v>-52.940773519997769</c:v>
                </c:pt>
                <c:pt idx="258">
                  <c:v>-52.8199704396255</c:v>
                </c:pt>
                <c:pt idx="259">
                  <c:v>-52.680658845024631</c:v>
                </c:pt>
                <c:pt idx="260">
                  <c:v>-52.523080160651091</c:v>
                </c:pt>
                <c:pt idx="261">
                  <c:v>-52.347482051542293</c:v>
                </c:pt>
                <c:pt idx="262">
                  <c:v>-52.154118287056043</c:v>
                </c:pt>
                <c:pt idx="263">
                  <c:v>-51.94324860256252</c:v>
                </c:pt>
                <c:pt idx="264">
                  <c:v>-51.715138559150219</c:v>
                </c:pt>
                <c:pt idx="265">
                  <c:v>-51.470059401406857</c:v>
                </c:pt>
                <c:pt idx="266">
                  <c:v>-51.208287913337635</c:v>
                </c:pt>
                <c:pt idx="267">
                  <c:v>-50.930106272483265</c:v>
                </c:pt>
                <c:pt idx="268">
                  <c:v>-50.635801902300848</c:v>
                </c:pt>
                <c:pt idx="269">
                  <c:v>-50.325667322871688</c:v>
                </c:pt>
                <c:pt idx="270">
                  <c:v>-50</c:v>
                </c:pt>
                <c:pt idx="271">
                  <c:v>-49.992384757819565</c:v>
                </c:pt>
                <c:pt idx="272">
                  <c:v>-49.969541350954785</c:v>
                </c:pt>
                <c:pt idx="273">
                  <c:v>-49.931476737728694</c:v>
                </c:pt>
                <c:pt idx="274">
                  <c:v>-49.878202512991216</c:v>
                </c:pt>
                <c:pt idx="275">
                  <c:v>-49.80973490458728</c:v>
                </c:pt>
                <c:pt idx="276">
                  <c:v>-49.726094768413667</c:v>
                </c:pt>
                <c:pt idx="277">
                  <c:v>-49.627307582066102</c:v>
                </c:pt>
                <c:pt idx="278">
                  <c:v>-49.513403437078516</c:v>
                </c:pt>
                <c:pt idx="279">
                  <c:v>-49.384417029756889</c:v>
                </c:pt>
                <c:pt idx="280">
                  <c:v>-49.240387650610408</c:v>
                </c:pt>
                <c:pt idx="281">
                  <c:v>-49.081359172383202</c:v>
                </c:pt>
                <c:pt idx="282">
                  <c:v>-48.907380036690292</c:v>
                </c:pt>
                <c:pt idx="283">
                  <c:v>-48.718503239261764</c:v>
                </c:pt>
                <c:pt idx="284">
                  <c:v>-48.514786313799831</c:v>
                </c:pt>
                <c:pt idx="285">
                  <c:v>-48.296291314453413</c:v>
                </c:pt>
                <c:pt idx="286">
                  <c:v>-48.063084796915938</c:v>
                </c:pt>
                <c:pt idx="287">
                  <c:v>-47.81523779815177</c:v>
                </c:pt>
                <c:pt idx="288">
                  <c:v>-47.552825814757682</c:v>
                </c:pt>
                <c:pt idx="289">
                  <c:v>-47.275928779965845</c:v>
                </c:pt>
                <c:pt idx="290">
                  <c:v>-46.984631039295429</c:v>
                </c:pt>
                <c:pt idx="291">
                  <c:v>-46.679021324860102</c:v>
                </c:pt>
                <c:pt idx="292">
                  <c:v>-46.359192728339373</c:v>
                </c:pt>
                <c:pt idx="293">
                  <c:v>-46.025242672622028</c:v>
                </c:pt>
                <c:pt idx="294">
                  <c:v>-45.67727288213004</c:v>
                </c:pt>
                <c:pt idx="295">
                  <c:v>-45.315389351832494</c:v>
                </c:pt>
                <c:pt idx="296">
                  <c:v>-44.939702314958353</c:v>
                </c:pt>
                <c:pt idx="297">
                  <c:v>-44.550326209418394</c:v>
                </c:pt>
                <c:pt idx="298">
                  <c:v>-44.147379642946355</c:v>
                </c:pt>
                <c:pt idx="299">
                  <c:v>-43.730985356969803</c:v>
                </c:pt>
                <c:pt idx="300">
                  <c:v>-43.301270189221931</c:v>
                </c:pt>
                <c:pt idx="301">
                  <c:v>-42.858365035105614</c:v>
                </c:pt>
                <c:pt idx="302">
                  <c:v>-42.402404807821306</c:v>
                </c:pt>
                <c:pt idx="303">
                  <c:v>-41.933528397271211</c:v>
                </c:pt>
                <c:pt idx="304">
                  <c:v>-41.451878627752102</c:v>
                </c:pt>
                <c:pt idx="305">
                  <c:v>-40.957602214449587</c:v>
                </c:pt>
                <c:pt idx="306">
                  <c:v>-40.450849718747378</c:v>
                </c:pt>
                <c:pt idx="307">
                  <c:v>-39.931775502364651</c:v>
                </c:pt>
                <c:pt idx="308">
                  <c:v>-39.400537680336086</c:v>
                </c:pt>
                <c:pt idx="309">
                  <c:v>-38.857298072848536</c:v>
                </c:pt>
                <c:pt idx="310">
                  <c:v>-38.302222155948904</c:v>
                </c:pt>
                <c:pt idx="311">
                  <c:v>-37.735479011138615</c:v>
                </c:pt>
                <c:pt idx="312">
                  <c:v>-37.15724127386973</c:v>
                </c:pt>
                <c:pt idx="313">
                  <c:v>-36.567685080958547</c:v>
                </c:pt>
                <c:pt idx="314">
                  <c:v>-35.966990016932584</c:v>
                </c:pt>
                <c:pt idx="315">
                  <c:v>-35.355339059327385</c:v>
                </c:pt>
                <c:pt idx="316">
                  <c:v>-34.73291852294988</c:v>
                </c:pt>
                <c:pt idx="317">
                  <c:v>-34.099918003124913</c:v>
                </c:pt>
                <c:pt idx="318">
                  <c:v>-33.456530317942907</c:v>
                </c:pt>
                <c:pt idx="319">
                  <c:v>-32.802951449525366</c:v>
                </c:pt>
                <c:pt idx="320">
                  <c:v>-32.139380484326978</c:v>
                </c:pt>
                <c:pt idx="321">
                  <c:v>-31.466019552491893</c:v>
                </c:pt>
                <c:pt idx="322">
                  <c:v>-30.783073766282943</c:v>
                </c:pt>
                <c:pt idx="323">
                  <c:v>-30.090751157602412</c:v>
                </c:pt>
                <c:pt idx="324">
                  <c:v>-29.389262614623668</c:v>
                </c:pt>
                <c:pt idx="325">
                  <c:v>-28.678821817552326</c:v>
                </c:pt>
                <c:pt idx="326">
                  <c:v>-27.959645173537368</c:v>
                </c:pt>
                <c:pt idx="327">
                  <c:v>-27.23195175075135</c:v>
                </c:pt>
                <c:pt idx="328">
                  <c:v>-26.495963211660289</c:v>
                </c:pt>
                <c:pt idx="329">
                  <c:v>-25.751903745502723</c:v>
                </c:pt>
                <c:pt idx="330">
                  <c:v>-25.000000000000021</c:v>
                </c:pt>
                <c:pt idx="331">
                  <c:v>-24.078877805568069</c:v>
                </c:pt>
                <c:pt idx="332">
                  <c:v>-23.160597097437279</c:v>
                </c:pt>
                <c:pt idx="333">
                  <c:v>-22.245534487237801</c:v>
                </c:pt>
                <c:pt idx="334">
                  <c:v>-21.334062477068418</c:v>
                </c:pt>
                <c:pt idx="335">
                  <c:v>-20.426549317467163</c:v>
                </c:pt>
                <c:pt idx="336">
                  <c:v>-19.523358867638407</c:v>
                </c:pt>
                <c:pt idx="337">
                  <c:v>-18.624850457988764</c:v>
                </c:pt>
                <c:pt idx="338">
                  <c:v>-17.731378755019851</c:v>
                </c:pt>
                <c:pt idx="339">
                  <c:v>-16.843293628629137</c:v>
                </c:pt>
                <c:pt idx="340">
                  <c:v>-15.960940021864536</c:v>
                </c:pt>
                <c:pt idx="341">
                  <c:v>-15.084657823181631</c:v>
                </c:pt>
                <c:pt idx="342">
                  <c:v>-14.21478174124759</c:v>
                </c:pt>
                <c:pt idx="343">
                  <c:v>-13.351641182338291</c:v>
                </c:pt>
                <c:pt idx="344">
                  <c:v>-12.495560130370656</c:v>
                </c:pt>
                <c:pt idx="345">
                  <c:v>-11.646857029613431</c:v>
                </c:pt>
                <c:pt idx="346">
                  <c:v>-10.8058446701185</c:v>
                </c:pt>
                <c:pt idx="347">
                  <c:v>-9.9728300759113626</c:v>
                </c:pt>
                <c:pt idx="348">
                  <c:v>-9.1481143959814339</c:v>
                </c:pt>
                <c:pt idx="349">
                  <c:v>-8.331992798109118</c:v>
                </c:pt>
                <c:pt idx="350">
                  <c:v>-7.5247543655670208</c:v>
                </c:pt>
                <c:pt idx="351">
                  <c:v>-6.7266819967299378</c:v>
                </c:pt>
                <c:pt idx="352">
                  <c:v>-5.9380523076294782</c:v>
                </c:pt>
                <c:pt idx="353">
                  <c:v>-5.1591355374846026</c:v>
                </c:pt>
                <c:pt idx="354">
                  <c:v>-4.3901954572414432</c:v>
                </c:pt>
                <c:pt idx="355">
                  <c:v>-3.6314892811524304</c:v>
                </c:pt>
                <c:pt idx="356">
                  <c:v>-2.8832675814238233</c:v>
                </c:pt>
                <c:pt idx="357">
                  <c:v>-2.145774205960719</c:v>
                </c:pt>
                <c:pt idx="358">
                  <c:v>-1.4192461992350336</c:v>
                </c:pt>
                <c:pt idx="359">
                  <c:v>-0.703913726303806</c:v>
                </c:pt>
                <c:pt idx="360">
                  <c:v>-9.8011876392689601E-15</c:v>
                </c:pt>
              </c:numCache>
            </c:numRef>
          </c:xVal>
          <c:yVal>
            <c:numRef>
              <c:f>Sheet1!$F$2:$F$362</c:f>
              <c:numCache>
                <c:formatCode>General</c:formatCode>
                <c:ptCount val="361"/>
                <c:pt idx="0">
                  <c:v>40</c:v>
                </c:pt>
                <c:pt idx="1">
                  <c:v>39.995430622724079</c:v>
                </c:pt>
                <c:pt idx="2">
                  <c:v>39.981721099655665</c:v>
                </c:pt>
                <c:pt idx="3">
                  <c:v>39.958867260887324</c:v>
                </c:pt>
                <c:pt idx="4">
                  <c:v>39.926862169283361</c:v>
                </c:pt>
                <c:pt idx="5">
                  <c:v>39.885696139526239</c:v>
                </c:pt>
                <c:pt idx="6">
                  <c:v>39.835356764744638</c:v>
                </c:pt>
                <c:pt idx="7">
                  <c:v>39.775828950686119</c:v>
                </c:pt>
                <c:pt idx="8">
                  <c:v>39.707094957386921</c:v>
                </c:pt>
                <c:pt idx="9">
                  <c:v>39.629134448281121</c:v>
                </c:pt>
                <c:pt idx="10">
                  <c:v>39.54192454668086</c:v>
                </c:pt>
                <c:pt idx="11">
                  <c:v>39.445439899549264</c:v>
                </c:pt>
                <c:pt idx="12">
                  <c:v>39.339652748477278</c:v>
                </c:pt>
                <c:pt idx="13">
                  <c:v>39.224533007765928</c:v>
                </c:pt>
                <c:pt idx="14">
                  <c:v>39.100048349505187</c:v>
                </c:pt>
                <c:pt idx="15">
                  <c:v>38.966164295531222</c:v>
                </c:pt>
                <c:pt idx="16">
                  <c:v>38.822844316133818</c:v>
                </c:pt>
                <c:pt idx="17">
                  <c:v>38.670049935376561</c:v>
                </c:pt>
                <c:pt idx="18">
                  <c:v>38.507740842882939</c:v>
                </c:pt>
                <c:pt idx="19">
                  <c:v>38.335875011932231</c:v>
                </c:pt>
                <c:pt idx="20">
                  <c:v>38.154408823700535</c:v>
                </c:pt>
                <c:pt idx="21">
                  <c:v>37.963297197473118</c:v>
                </c:pt>
                <c:pt idx="22">
                  <c:v>37.762493726646113</c:v>
                </c:pt>
                <c:pt idx="23">
                  <c:v>37.551950820327036</c:v>
                </c:pt>
                <c:pt idx="24">
                  <c:v>37.331619850335755</c:v>
                </c:pt>
                <c:pt idx="25">
                  <c:v>37.101451303399799</c:v>
                </c:pt>
                <c:pt idx="26">
                  <c:v>36.861394938330058</c:v>
                </c:pt>
                <c:pt idx="27">
                  <c:v>36.611399947956031</c:v>
                </c:pt>
                <c:pt idx="28">
                  <c:v>36.351415125592617</c:v>
                </c:pt>
                <c:pt idx="29">
                  <c:v>36.08138903580376</c:v>
                </c:pt>
                <c:pt idx="30">
                  <c:v>35.801270189221931</c:v>
                </c:pt>
                <c:pt idx="31">
                  <c:v>35.511007221176158</c:v>
                </c:pt>
                <c:pt idx="32">
                  <c:v>35.21054907387591</c:v>
                </c:pt>
                <c:pt idx="33">
                  <c:v>34.899845181892204</c:v>
                </c:pt>
                <c:pt idx="34">
                  <c:v>34.578845660672521</c:v>
                </c:pt>
                <c:pt idx="35">
                  <c:v>34.247501497821247</c:v>
                </c:pt>
                <c:pt idx="36">
                  <c:v>33.905764746872634</c:v>
                </c:pt>
                <c:pt idx="37">
                  <c:v>33.553588723279645</c:v>
                </c:pt>
                <c:pt idx="38">
                  <c:v>33.190928202337759</c:v>
                </c:pt>
                <c:pt idx="39">
                  <c:v>32.817739618759752</c:v>
                </c:pt>
                <c:pt idx="40">
                  <c:v>32.43398126761425</c:v>
                </c:pt>
                <c:pt idx="41">
                  <c:v>32.039613506338277</c:v>
                </c:pt>
                <c:pt idx="42">
                  <c:v>31.634598957531445</c:v>
                </c:pt>
                <c:pt idx="43">
                  <c:v>31.218902712237902</c:v>
                </c:pt>
                <c:pt idx="44">
                  <c:v>30.792492533420052</c:v>
                </c:pt>
                <c:pt idx="45">
                  <c:v>30.355339059327378</c:v>
                </c:pt>
                <c:pt idx="46">
                  <c:v>29.90741600646237</c:v>
                </c:pt>
                <c:pt idx="47">
                  <c:v>29.44870037184555</c:v>
                </c:pt>
                <c:pt idx="48">
                  <c:v>28.979172634281177</c:v>
                </c:pt>
                <c:pt idx="49">
                  <c:v>28.49881695432569</c:v>
                </c:pt>
                <c:pt idx="50">
                  <c:v>28.007621372661621</c:v>
                </c:pt>
                <c:pt idx="51">
                  <c:v>27.50557800658067</c:v>
                </c:pt>
                <c:pt idx="52">
                  <c:v>26.992683244281253</c:v>
                </c:pt>
                <c:pt idx="53">
                  <c:v>26.468937936687411</c:v>
                </c:pt>
                <c:pt idx="54">
                  <c:v>25.934347586498394</c:v>
                </c:pt>
                <c:pt idx="55">
                  <c:v>25.388922534180651</c:v>
                </c:pt>
                <c:pt idx="56">
                  <c:v>24.832678140616899</c:v>
                </c:pt>
                <c:pt idx="57">
                  <c:v>24.26563496613036</c:v>
                </c:pt>
                <c:pt idx="58">
                  <c:v>23.687818945605635</c:v>
                </c:pt>
                <c:pt idx="59">
                  <c:v>23.099261559432172</c:v>
                </c:pt>
                <c:pt idx="60">
                  <c:v>22.500000000000004</c:v>
                </c:pt>
                <c:pt idx="61">
                  <c:v>21.890077333482878</c:v>
                </c:pt>
                <c:pt idx="62">
                  <c:v>21.269542656648277</c:v>
                </c:pt>
                <c:pt idx="63">
                  <c:v>20.638451248439704</c:v>
                </c:pt>
                <c:pt idx="64">
                  <c:v>19.996864716082165</c:v>
                </c:pt>
                <c:pt idx="65">
                  <c:v>19.344851135467671</c:v>
                </c:pt>
                <c:pt idx="66">
                  <c:v>18.682485185584301</c:v>
                </c:pt>
                <c:pt idx="67">
                  <c:v>18.009848276758682</c:v>
                </c:pt>
                <c:pt idx="68">
                  <c:v>17.327028672488854</c:v>
                </c:pt>
                <c:pt idx="69">
                  <c:v>16.634121604651988</c:v>
                </c:pt>
                <c:pt idx="70">
                  <c:v>15.931229381878332</c:v>
                </c:pt>
                <c:pt idx="71">
                  <c:v>15.218461490891448</c:v>
                </c:pt>
                <c:pt idx="72">
                  <c:v>14.495934690622111</c:v>
                </c:pt>
                <c:pt idx="73">
                  <c:v>13.763773098912045</c:v>
                </c:pt>
                <c:pt idx="74">
                  <c:v>13.022108271632089</c:v>
                </c:pt>
                <c:pt idx="75">
                  <c:v>12.271079274048232</c:v>
                </c:pt>
                <c:pt idx="76">
                  <c:v>11.51083274427803</c:v>
                </c:pt>
                <c:pt idx="77">
                  <c:v>10.741522948689083</c:v>
                </c:pt>
                <c:pt idx="78">
                  <c:v>9.9633118291009755</c:v>
                </c:pt>
                <c:pt idx="79">
                  <c:v>9.1763690416611823</c:v>
                </c:pt>
                <c:pt idx="80">
                  <c:v>8.3808719872760626</c:v>
                </c:pt>
                <c:pt idx="81">
                  <c:v>7.5770058334873136</c:v>
                </c:pt>
                <c:pt idx="82">
                  <c:v>6.7649635276948787</c:v>
                </c:pt>
                <c:pt idx="83">
                  <c:v>5.9449458016373571</c:v>
                </c:pt>
                <c:pt idx="84">
                  <c:v>5.1171611670517008</c:v>
                </c:pt>
                <c:pt idx="85">
                  <c:v>4.2818259024439476</c:v>
                </c:pt>
                <c:pt idx="86">
                  <c:v>3.439164030914124</c:v>
                </c:pt>
                <c:pt idx="87">
                  <c:v>2.5894072889885646</c:v>
                </c:pt>
                <c:pt idx="88">
                  <c:v>1.7327950864241752</c:v>
                </c:pt>
                <c:pt idx="89">
                  <c:v>0.86957445695964752</c:v>
                </c:pt>
                <c:pt idx="90">
                  <c:v>3.06287113727155E-15</c:v>
                </c:pt>
                <c:pt idx="91">
                  <c:v>-0.87843779067660155</c:v>
                </c:pt>
                <c:pt idx="92">
                  <c:v>-1.7682411662600372</c:v>
                </c:pt>
                <c:pt idx="93">
                  <c:v>-2.6691337683901244</c:v>
                </c:pt>
                <c:pt idx="94">
                  <c:v>-3.5808323188651001</c:v>
                </c:pt>
                <c:pt idx="95">
                  <c:v>-4.5030467086290091</c:v>
                </c:pt>
                <c:pt idx="96">
                  <c:v>-5.4354800899179736</c:v>
                </c:pt>
                <c:pt idx="97">
                  <c:v>-6.3778289715360454</c:v>
                </c:pt>
                <c:pt idx="98">
                  <c:v>-7.3297833172301088</c:v>
                </c:pt>
                <c:pt idx="99">
                  <c:v>-8.2910266471322451</c:v>
                </c:pt>
                <c:pt idx="100">
                  <c:v>-9.2612361422362834</c:v>
                </c:pt>
                <c:pt idx="101">
                  <c:v>-10.240082751874571</c:v>
                </c:pt>
                <c:pt idx="102">
                  <c:v>-11.227231304158993</c:v>
                </c:pt>
                <c:pt idx="103">
                  <c:v>-12.222340619349989</c:v>
                </c:pt>
                <c:pt idx="104">
                  <c:v>-13.225063626115171</c:v>
                </c:pt>
                <c:pt idx="105">
                  <c:v>-14.235047480638647</c:v>
                </c:pt>
                <c:pt idx="106">
                  <c:v>-15.251933688540614</c:v>
                </c:pt>
                <c:pt idx="107">
                  <c:v>-16.275358229565672</c:v>
                </c:pt>
                <c:pt idx="108">
                  <c:v>-17.30495168499705</c:v>
                </c:pt>
                <c:pt idx="109">
                  <c:v>-18.340339367753145</c:v>
                </c:pt>
                <c:pt idx="110">
                  <c:v>-19.381141455121227</c:v>
                </c:pt>
                <c:pt idx="111">
                  <c:v>-20.426973124082114</c:v>
                </c:pt>
                <c:pt idx="112">
                  <c:v>-21.477444689178959</c:v>
                </c:pt>
                <c:pt idx="113">
                  <c:v>-22.532161742881442</c:v>
                </c:pt>
                <c:pt idx="114">
                  <c:v>-23.590725298396404</c:v>
                </c:pt>
                <c:pt idx="115">
                  <c:v>-24.652731934874129</c:v>
                </c:pt>
                <c:pt idx="116">
                  <c:v>-25.717773944959212</c:v>
                </c:pt>
                <c:pt idx="117">
                  <c:v>-26.785439484633255</c:v>
                </c:pt>
                <c:pt idx="118">
                  <c:v>-27.855312725296173</c:v>
                </c:pt>
                <c:pt idx="119">
                  <c:v>-28.92697400803144</c:v>
                </c:pt>
                <c:pt idx="120">
                  <c:v>-29.999999999999986</c:v>
                </c:pt>
                <c:pt idx="121">
                  <c:v>-31.073963852906608</c:v>
                </c:pt>
                <c:pt idx="122">
                  <c:v>-32.148435363481092</c:v>
                </c:pt>
                <c:pt idx="123">
                  <c:v>-33.222981135916655</c:v>
                </c:pt>
                <c:pt idx="124">
                  <c:v>-34.297164746205794</c:v>
                </c:pt>
                <c:pt idx="125">
                  <c:v>-35.370546908314495</c:v>
                </c:pt>
                <c:pt idx="126">
                  <c:v>-36.442685642133327</c:v>
                </c:pt>
                <c:pt idx="127">
                  <c:v>-37.513136443144347</c:v>
                </c:pt>
                <c:pt idx="128">
                  <c:v>-38.58145245374125</c:v>
                </c:pt>
                <c:pt idx="129">
                  <c:v>-39.647184636139748</c:v>
                </c:pt>
                <c:pt idx="130">
                  <c:v>-40.709881946814164</c:v>
                </c:pt>
                <c:pt idx="131">
                  <c:v>-41.76909151239564</c:v>
                </c:pt>
                <c:pt idx="132">
                  <c:v>-42.824358806966927</c:v>
                </c:pt>
                <c:pt idx="133">
                  <c:v>-43.8752278306874</c:v>
                </c:pt>
                <c:pt idx="134">
                  <c:v>-44.921241289681802</c:v>
                </c:pt>
                <c:pt idx="135">
                  <c:v>-45.961940777125584</c:v>
                </c:pt>
                <c:pt idx="136">
                  <c:v>-46.99686695545855</c:v>
                </c:pt>
                <c:pt idx="137">
                  <c:v>-48.025559739658853</c:v>
                </c:pt>
                <c:pt idx="138">
                  <c:v>-49.047558481508005</c:v>
                </c:pt>
                <c:pt idx="139">
                  <c:v>-50.062402154777217</c:v>
                </c:pt>
                <c:pt idx="140">
                  <c:v>-51.069629541265186</c:v>
                </c:pt>
                <c:pt idx="141">
                  <c:v>-52.068779417617037</c:v>
                </c:pt>
                <c:pt idx="142">
                  <c:v>-53.059390742852614</c:v>
                </c:pt>
                <c:pt idx="143">
                  <c:v>-54.04100284653348</c:v>
                </c:pt>
                <c:pt idx="144">
                  <c:v>-55.013155617496416</c:v>
                </c:pt>
                <c:pt idx="145">
                  <c:v>-55.975389693081098</c:v>
                </c:pt>
                <c:pt idx="146">
                  <c:v>-56.927246648779516</c:v>
                </c:pt>
                <c:pt idx="147">
                  <c:v>-57.868269188234265</c:v>
                </c:pt>
                <c:pt idx="148">
                  <c:v>-58.798001333512211</c:v>
                </c:pt>
                <c:pt idx="149">
                  <c:v>-59.715988615580478</c:v>
                </c:pt>
                <c:pt idx="150">
                  <c:v>-60.621778264910709</c:v>
                </c:pt>
                <c:pt idx="151">
                  <c:v>-60.931839597377895</c:v>
                </c:pt>
                <c:pt idx="152">
                  <c:v>-61.217699771552262</c:v>
                </c:pt>
                <c:pt idx="153">
                  <c:v>-61.479450168997374</c:v>
                </c:pt>
                <c:pt idx="154">
                  <c:v>-61.717191179209465</c:v>
                </c:pt>
                <c:pt idx="155">
                  <c:v>-61.931032114171089</c:v>
                </c:pt>
                <c:pt idx="156">
                  <c:v>-62.12109111969685</c:v>
                </c:pt>
                <c:pt idx="157">
                  <c:v>-62.287495083615106</c:v>
                </c:pt>
                <c:pt idx="158">
                  <c:v>-62.430379540830351</c:v>
                </c:pt>
                <c:pt idx="159">
                  <c:v>-62.549888575312515</c:v>
                </c:pt>
                <c:pt idx="160">
                  <c:v>-62.646174719060546</c:v>
                </c:pt>
                <c:pt idx="161">
                  <c:v>-62.719398848088019</c:v>
                </c:pt>
                <c:pt idx="162">
                  <c:v>-62.769730075480133</c:v>
                </c:pt>
                <c:pt idx="163">
                  <c:v>-62.797345641572655</c:v>
                </c:pt>
                <c:pt idx="164">
                  <c:v>-62.802430801303494</c:v>
                </c:pt>
                <c:pt idx="165">
                  <c:v>-62.785178708789431</c:v>
                </c:pt>
                <c:pt idx="166">
                  <c:v>-62.745790299181095</c:v>
                </c:pt>
                <c:pt idx="167">
                  <c:v>-62.684474167850141</c:v>
                </c:pt>
                <c:pt idx="168">
                  <c:v>-62.601446446963564</c:v>
                </c:pt>
                <c:pt idx="169">
                  <c:v>-62.496930679501268</c:v>
                </c:pt>
                <c:pt idx="170">
                  <c:v>-62.371157690773174</c:v>
                </c:pt>
                <c:pt idx="171">
                  <c:v>-62.224365457493676</c:v>
                </c:pt>
                <c:pt idx="172">
                  <c:v>-62.056798974471732</c:v>
                </c:pt>
                <c:pt idx="173">
                  <c:v>-61.868710118975741</c:v>
                </c:pt>
                <c:pt idx="174">
                  <c:v>-61.660357512832945</c:v>
                </c:pt>
                <c:pt idx="175">
                  <c:v>-61.432006382324303</c:v>
                </c:pt>
                <c:pt idx="176">
                  <c:v>-61.183928415935888</c:v>
                </c:pt>
                <c:pt idx="177">
                  <c:v>-60.916401620029006</c:v>
                </c:pt>
                <c:pt idx="178">
                  <c:v>-60.629710172491805</c:v>
                </c:pt>
                <c:pt idx="179">
                  <c:v>-60.324144274435611</c:v>
                </c:pt>
                <c:pt idx="180">
                  <c:v>-60</c:v>
                </c:pt>
                <c:pt idx="181">
                  <c:v>-59.657579144331343</c:v>
                </c:pt>
                <c:pt idx="182">
                  <c:v>-59.297189069799686</c:v>
                </c:pt>
                <c:pt idx="183">
                  <c:v>-58.919142550519858</c:v>
                </c:pt>
                <c:pt idx="184">
                  <c:v>-58.523757615243021</c:v>
                </c:pt>
                <c:pt idx="185">
                  <c:v>-58.111357388685157</c:v>
                </c:pt>
                <c:pt idx="186">
                  <c:v>-57.682269931359855</c:v>
                </c:pt>
                <c:pt idx="187">
                  <c:v>-57.236828077982899</c:v>
                </c:pt>
                <c:pt idx="188">
                  <c:v>-56.775369274516699</c:v>
                </c:pt>
                <c:pt idx="189">
                  <c:v>-56.298235413922853</c:v>
                </c:pt>
                <c:pt idx="190">
                  <c:v>-55.805772670691788</c:v>
                </c:pt>
                <c:pt idx="191">
                  <c:v>-55.298331334218403</c:v>
                </c:pt>
                <c:pt idx="192">
                  <c:v>-54.776265641093119</c:v>
                </c:pt>
                <c:pt idx="193">
                  <c:v>-54.239933606378102</c:v>
                </c:pt>
                <c:pt idx="194">
                  <c:v>-53.689696853938464</c:v>
                </c:pt>
                <c:pt idx="195">
                  <c:v>-53.125920445898764</c:v>
                </c:pt>
                <c:pt idx="196">
                  <c:v>-52.548972711294773</c:v>
                </c:pt>
                <c:pt idx="197">
                  <c:v>-51.959225073991597</c:v>
                </c:pt>
                <c:pt idx="198">
                  <c:v>-51.35705187993829</c:v>
                </c:pt>
                <c:pt idx="199">
                  <c:v>-50.742830223830005</c:v>
                </c:pt>
                <c:pt idx="200">
                  <c:v>-50.116939775248447</c:v>
                </c:pt>
                <c:pt idx="201">
                  <c:v>-49.479762604351691</c:v>
                </c:pt>
                <c:pt idx="202">
                  <c:v>-48.831683007184139</c:v>
                </c:pt>
                <c:pt idx="203">
                  <c:v>-48.17308733067771</c:v>
                </c:pt>
                <c:pt idx="204">
                  <c:v>-47.504363797415259</c:v>
                </c:pt>
                <c:pt idx="205">
                  <c:v>-46.825902330226924</c:v>
                </c:pt>
                <c:pt idx="206">
                  <c:v>-46.138094376690574</c:v>
                </c:pt>
                <c:pt idx="207">
                  <c:v>-45.441332733606771</c:v>
                </c:pt>
                <c:pt idx="208">
                  <c:v>-44.736011371518963</c:v>
                </c:pt>
                <c:pt idx="209">
                  <c:v>-44.022525259349585</c:v>
                </c:pt>
                <c:pt idx="210">
                  <c:v>-43.301270189221931</c:v>
                </c:pt>
                <c:pt idx="211">
                  <c:v>-43.144087468672986</c:v>
                </c:pt>
                <c:pt idx="212">
                  <c:v>-42.967770205258923</c:v>
                </c:pt>
                <c:pt idx="213">
                  <c:v>-42.772198965216624</c:v>
                </c:pt>
                <c:pt idx="214">
                  <c:v>-42.557262057825476</c:v>
                </c:pt>
                <c:pt idx="215">
                  <c:v>-42.322855621597924</c:v>
                </c:pt>
                <c:pt idx="216">
                  <c:v>-42.068883707497271</c:v>
                </c:pt>
                <c:pt idx="217">
                  <c:v>-41.795258359141663</c:v>
                </c:pt>
                <c:pt idx="218">
                  <c:v>-41.501899689954044</c:v>
                </c:pt>
                <c:pt idx="219">
                  <c:v>-41.18873595721945</c:v>
                </c:pt>
                <c:pt idx="220">
                  <c:v>-40.855703633012155</c:v>
                </c:pt>
                <c:pt idx="221">
                  <c:v>-40.502747471955431</c:v>
                </c:pt>
                <c:pt idx="222">
                  <c:v>-40.129820575779291</c:v>
                </c:pt>
                <c:pt idx="223">
                  <c:v>-39.736884454641597</c:v>
                </c:pt>
                <c:pt idx="224">
                  <c:v>-39.323909085179594</c:v>
                </c:pt>
                <c:pt idx="225">
                  <c:v>-38.890872965260122</c:v>
                </c:pt>
                <c:pt idx="226">
                  <c:v>-38.437763165397861</c:v>
                </c:pt>
                <c:pt idx="227">
                  <c:v>-37.964575376812441</c:v>
                </c:pt>
                <c:pt idx="228">
                  <c:v>-37.471313956096076</c:v>
                </c:pt>
                <c:pt idx="229">
                  <c:v>-36.957991966465258</c:v>
                </c:pt>
                <c:pt idx="230">
                  <c:v>-36.424631215570571</c:v>
                </c:pt>
                <c:pt idx="231">
                  <c:v>-35.871262289840722</c:v>
                </c:pt>
                <c:pt idx="232">
                  <c:v>-35.297924585337725</c:v>
                </c:pt>
                <c:pt idx="233">
                  <c:v>-34.70466633510145</c:v>
                </c:pt>
                <c:pt idx="234">
                  <c:v>-34.091544632963448</c:v>
                </c:pt>
                <c:pt idx="235">
                  <c:v>-33.458625453811038</c:v>
                </c:pt>
                <c:pt idx="236">
                  <c:v>-32.805983670283844</c:v>
                </c:pt>
                <c:pt idx="237">
                  <c:v>-32.133703065886593</c:v>
                </c:pt>
                <c:pt idx="238">
                  <c:v>-31.441876344503495</c:v>
                </c:pt>
                <c:pt idx="239">
                  <c:v>-30.730605136299921</c:v>
                </c:pt>
                <c:pt idx="240">
                  <c:v>-30.000000000000028</c:v>
                </c:pt>
                <c:pt idx="241">
                  <c:v>-28.926974008031433</c:v>
                </c:pt>
                <c:pt idx="242">
                  <c:v>-27.855312725296184</c:v>
                </c:pt>
                <c:pt idx="243">
                  <c:v>-26.785439484633269</c:v>
                </c:pt>
                <c:pt idx="244">
                  <c:v>-25.71777394495923</c:v>
                </c:pt>
                <c:pt idx="245">
                  <c:v>-24.652731934874161</c:v>
                </c:pt>
                <c:pt idx="246">
                  <c:v>-23.590725298396407</c:v>
                </c:pt>
                <c:pt idx="247">
                  <c:v>-22.53216174288146</c:v>
                </c:pt>
                <c:pt idx="248">
                  <c:v>-21.47744468917897</c:v>
                </c:pt>
                <c:pt idx="249">
                  <c:v>-20.426973124082142</c:v>
                </c:pt>
                <c:pt idx="250">
                  <c:v>-19.381141455121266</c:v>
                </c:pt>
                <c:pt idx="251">
                  <c:v>-18.340339367753156</c:v>
                </c:pt>
                <c:pt idx="252">
                  <c:v>-17.304951684997064</c:v>
                </c:pt>
                <c:pt idx="253">
                  <c:v>-16.2753582295657</c:v>
                </c:pt>
                <c:pt idx="254">
                  <c:v>-15.251933688540603</c:v>
                </c:pt>
                <c:pt idx="255">
                  <c:v>-14.235047480638634</c:v>
                </c:pt>
                <c:pt idx="256">
                  <c:v>-13.225063626115173</c:v>
                </c:pt>
                <c:pt idx="257">
                  <c:v>-12.22234061935001</c:v>
                </c:pt>
                <c:pt idx="258">
                  <c:v>-11.227231304159028</c:v>
                </c:pt>
                <c:pt idx="259">
                  <c:v>-10.240082751874608</c:v>
                </c:pt>
                <c:pt idx="260">
                  <c:v>-9.2612361422362834</c:v>
                </c:pt>
                <c:pt idx="261">
                  <c:v>-8.2910266471322451</c:v>
                </c:pt>
                <c:pt idx="262">
                  <c:v>-7.3297833172300875</c:v>
                </c:pt>
                <c:pt idx="263">
                  <c:v>-6.3778289715360348</c:v>
                </c:pt>
                <c:pt idx="264">
                  <c:v>-5.4354800899179745</c:v>
                </c:pt>
                <c:pt idx="265">
                  <c:v>-4.50304670862901</c:v>
                </c:pt>
                <c:pt idx="266">
                  <c:v>-3.580832318865113</c:v>
                </c:pt>
                <c:pt idx="267">
                  <c:v>-2.6691337683901595</c:v>
                </c:pt>
                <c:pt idx="268">
                  <c:v>-1.7682411662600837</c:v>
                </c:pt>
                <c:pt idx="269">
                  <c:v>-0.87843779067660266</c:v>
                </c:pt>
                <c:pt idx="270">
                  <c:v>-9.1886134118146501E-15</c:v>
                </c:pt>
                <c:pt idx="271">
                  <c:v>0.8726203218641565</c:v>
                </c:pt>
                <c:pt idx="272">
                  <c:v>1.744974835125064</c:v>
                </c:pt>
                <c:pt idx="273">
                  <c:v>2.6167978121471971</c:v>
                </c:pt>
                <c:pt idx="274">
                  <c:v>3.4878236872062609</c:v>
                </c:pt>
                <c:pt idx="275">
                  <c:v>4.3577871373828945</c:v>
                </c:pt>
                <c:pt idx="276">
                  <c:v>5.2264231633826492</c:v>
                </c:pt>
                <c:pt idx="277">
                  <c:v>6.0934671702573846</c:v>
                </c:pt>
                <c:pt idx="278">
                  <c:v>6.9586550480032736</c:v>
                </c:pt>
                <c:pt idx="279">
                  <c:v>7.8217232520115338</c:v>
                </c:pt>
                <c:pt idx="280">
                  <c:v>8.6824088833464987</c:v>
                </c:pt>
                <c:pt idx="281">
                  <c:v>9.5404497688272123</c:v>
                </c:pt>
                <c:pt idx="282">
                  <c:v>10.395584540887928</c:v>
                </c:pt>
                <c:pt idx="283">
                  <c:v>11.247552717193246</c:v>
                </c:pt>
                <c:pt idx="284">
                  <c:v>12.096094779983373</c:v>
                </c:pt>
                <c:pt idx="285">
                  <c:v>12.940952255126057</c:v>
                </c:pt>
                <c:pt idx="286">
                  <c:v>13.781867790849969</c:v>
                </c:pt>
                <c:pt idx="287">
                  <c:v>14.618585236136836</c:v>
                </c:pt>
                <c:pt idx="288">
                  <c:v>15.450849718747362</c:v>
                </c:pt>
                <c:pt idx="289">
                  <c:v>16.278407722857814</c:v>
                </c:pt>
                <c:pt idx="290">
                  <c:v>17.101007166283409</c:v>
                </c:pt>
                <c:pt idx="291">
                  <c:v>17.918397477264978</c:v>
                </c:pt>
                <c:pt idx="292">
                  <c:v>18.730329670795598</c:v>
                </c:pt>
                <c:pt idx="293">
                  <c:v>19.536556424463676</c:v>
                </c:pt>
                <c:pt idx="294">
                  <c:v>20.336832153790027</c:v>
                </c:pt>
                <c:pt idx="295">
                  <c:v>21.13091308703498</c:v>
                </c:pt>
                <c:pt idx="296">
                  <c:v>21.918557339453869</c:v>
                </c:pt>
                <c:pt idx="297">
                  <c:v>22.69952498697733</c:v>
                </c:pt>
                <c:pt idx="298">
                  <c:v>23.473578139294521</c:v>
                </c:pt>
                <c:pt idx="299">
                  <c:v>24.240481012316824</c:v>
                </c:pt>
                <c:pt idx="300">
                  <c:v>25.000000000000007</c:v>
                </c:pt>
                <c:pt idx="301">
                  <c:v>25.751903745502709</c:v>
                </c:pt>
                <c:pt idx="302">
                  <c:v>26.495963211660232</c:v>
                </c:pt>
                <c:pt idx="303">
                  <c:v>27.231951750751332</c:v>
                </c:pt>
                <c:pt idx="304">
                  <c:v>27.959645173537311</c:v>
                </c:pt>
                <c:pt idx="305">
                  <c:v>28.678821817552304</c:v>
                </c:pt>
                <c:pt idx="306">
                  <c:v>29.389262614623647</c:v>
                </c:pt>
                <c:pt idx="307">
                  <c:v>30.090751157602398</c:v>
                </c:pt>
                <c:pt idx="308">
                  <c:v>30.783073766282925</c:v>
                </c:pt>
                <c:pt idx="309">
                  <c:v>31.466019552491876</c:v>
                </c:pt>
                <c:pt idx="310">
                  <c:v>32.139380484326963</c:v>
                </c:pt>
                <c:pt idx="311">
                  <c:v>32.802951449525352</c:v>
                </c:pt>
                <c:pt idx="312">
                  <c:v>33.456530317942892</c:v>
                </c:pt>
                <c:pt idx="313">
                  <c:v>34.099918003124898</c:v>
                </c:pt>
                <c:pt idx="314">
                  <c:v>34.732918522949831</c:v>
                </c:pt>
                <c:pt idx="315">
                  <c:v>35.35533905932737</c:v>
                </c:pt>
                <c:pt idx="316">
                  <c:v>35.966990016932542</c:v>
                </c:pt>
                <c:pt idx="317">
                  <c:v>36.567685080958533</c:v>
                </c:pt>
                <c:pt idx="318">
                  <c:v>37.157241273869715</c:v>
                </c:pt>
                <c:pt idx="319">
                  <c:v>37.735479011138594</c:v>
                </c:pt>
                <c:pt idx="320">
                  <c:v>38.30222215594889</c:v>
                </c:pt>
                <c:pt idx="321">
                  <c:v>38.857298072848529</c:v>
                </c:pt>
                <c:pt idx="322">
                  <c:v>39.400537680336079</c:v>
                </c:pt>
                <c:pt idx="323">
                  <c:v>39.931775502364644</c:v>
                </c:pt>
                <c:pt idx="324">
                  <c:v>40.450849718747364</c:v>
                </c:pt>
                <c:pt idx="325">
                  <c:v>40.957602214449579</c:v>
                </c:pt>
                <c:pt idx="326">
                  <c:v>41.451878627752073</c:v>
                </c:pt>
                <c:pt idx="327">
                  <c:v>41.933528397271203</c:v>
                </c:pt>
                <c:pt idx="328">
                  <c:v>42.40240480782127</c:v>
                </c:pt>
                <c:pt idx="329">
                  <c:v>42.858365035105606</c:v>
                </c:pt>
                <c:pt idx="330">
                  <c:v>43.301270189221917</c:v>
                </c:pt>
                <c:pt idx="331">
                  <c:v>43.43944545459</c:v>
                </c:pt>
                <c:pt idx="332">
                  <c:v>43.558747914373718</c:v>
                </c:pt>
                <c:pt idx="333">
                  <c:v>43.659319685230024</c:v>
                </c:pt>
                <c:pt idx="334">
                  <c:v>43.741310253226139</c:v>
                </c:pt>
                <c:pt idx="335">
                  <c:v>43.804876373438063</c:v>
                </c:pt>
                <c:pt idx="336">
                  <c:v>43.850181966844843</c:v>
                </c:pt>
                <c:pt idx="337">
                  <c:v>43.87739801456631</c:v>
                </c:pt>
                <c:pt idx="338">
                  <c:v>43.886702449494592</c:v>
                </c:pt>
                <c:pt idx="339">
                  <c:v>43.87828004536847</c:v>
                </c:pt>
                <c:pt idx="340">
                  <c:v>43.852322303342397</c:v>
                </c:pt>
                <c:pt idx="341">
                  <c:v>43.809027336101657</c:v>
                </c:pt>
                <c:pt idx="342">
                  <c:v>43.74859974957706</c:v>
                </c:pt>
                <c:pt idx="343">
                  <c:v>43.671250522311965</c:v>
                </c:pt>
                <c:pt idx="344">
                  <c:v>43.577196882537109</c:v>
                </c:pt>
                <c:pt idx="345">
                  <c:v>43.466662183008076</c:v>
                </c:pt>
                <c:pt idx="346">
                  <c:v>43.339875773661177</c:v>
                </c:pt>
                <c:pt idx="347">
                  <c:v>43.197072872145419</c:v>
                </c:pt>
                <c:pt idx="348">
                  <c:v>43.038494432287443</c:v>
                </c:pt>
                <c:pt idx="349">
                  <c:v>42.864387010548</c:v>
                </c:pt>
                <c:pt idx="350">
                  <c:v>42.675002630529008</c:v>
                </c:pt>
                <c:pt idx="351">
                  <c:v>42.470598645590918</c:v>
                </c:pt>
                <c:pt idx="352">
                  <c:v>42.251437599640333</c:v>
                </c:pt>
                <c:pt idx="353">
                  <c:v>42.017787086149291</c:v>
                </c:pt>
                <c:pt idx="354">
                  <c:v>41.769919605467479</c:v>
                </c:pt>
                <c:pt idx="355">
                  <c:v>41.508112420489404</c:v>
                </c:pt>
                <c:pt idx="356">
                  <c:v>41.232647410739403</c:v>
                </c:pt>
                <c:pt idx="357">
                  <c:v>40.94381092493753</c:v>
                </c:pt>
                <c:pt idx="358">
                  <c:v>40.641893632109898</c:v>
                </c:pt>
                <c:pt idx="359">
                  <c:v>40.327190371307779</c:v>
                </c:pt>
                <c:pt idx="36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0C-47D6-AC6A-0192FC969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94944"/>
        <c:axId val="136596480"/>
      </c:scatterChart>
      <c:valAx>
        <c:axId val="13659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zh-CN"/>
          </a:p>
        </c:txPr>
        <c:crossAx val="136596480"/>
        <c:crosses val="autoZero"/>
        <c:crossBetween val="midCat"/>
      </c:valAx>
      <c:valAx>
        <c:axId val="136596480"/>
        <c:scaling>
          <c:orientation val="minMax"/>
          <c:max val="100"/>
          <c:min val="-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zh-CN"/>
          </a:p>
        </c:txPr>
        <c:crossAx val="136594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strRef>
              <c:f>Sheet1!$D$1</c:f>
              <c:strCache>
                <c:ptCount val="1"/>
                <c:pt idx="0">
                  <c:v>y（θ）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Sheet1!$D$2:$D$362</c:f>
              <c:numCache>
                <c:formatCode>General</c:formatCode>
                <c:ptCount val="361"/>
                <c:pt idx="0">
                  <c:v>0</c:v>
                </c:pt>
                <c:pt idx="1">
                  <c:v>1.5230484360873042E-3</c:v>
                </c:pt>
                <c:pt idx="2">
                  <c:v>6.0917298090423788E-3</c:v>
                </c:pt>
                <c:pt idx="3">
                  <c:v>1.3704652454261668E-2</c:v>
                </c:pt>
                <c:pt idx="4">
                  <c:v>2.4359497401758023E-2</c:v>
                </c:pt>
                <c:pt idx="5">
                  <c:v>3.8053019082544548E-2</c:v>
                </c:pt>
                <c:pt idx="6">
                  <c:v>5.4781046317267101E-2</c:v>
                </c:pt>
                <c:pt idx="7">
                  <c:v>7.4538483586780169E-2</c:v>
                </c:pt>
                <c:pt idx="8">
                  <c:v>9.731931258429638E-2</c:v>
                </c:pt>
                <c:pt idx="9">
                  <c:v>0.1231165940486223</c:v>
                </c:pt>
                <c:pt idx="10">
                  <c:v>0.1519224698779198</c:v>
                </c:pt>
                <c:pt idx="11">
                  <c:v>0.18372816552336024</c:v>
                </c:pt>
                <c:pt idx="12">
                  <c:v>0.21852399266194311</c:v>
                </c:pt>
                <c:pt idx="13">
                  <c:v>0.25629935214764754</c:v>
                </c:pt>
                <c:pt idx="14">
                  <c:v>0.29704273724003527</c:v>
                </c:pt>
                <c:pt idx="15">
                  <c:v>0.34074173710931688</c:v>
                </c:pt>
                <c:pt idx="16">
                  <c:v>0.38738304061681106</c:v>
                </c:pt>
                <c:pt idx="17">
                  <c:v>0.43695244036964564</c:v>
                </c:pt>
                <c:pt idx="18">
                  <c:v>0.48943483704846469</c:v>
                </c:pt>
                <c:pt idx="19">
                  <c:v>0.54481424400683154</c:v>
                </c:pt>
                <c:pt idx="20">
                  <c:v>0.60307379214091572</c:v>
                </c:pt>
                <c:pt idx="21">
                  <c:v>0.66419573502798257</c:v>
                </c:pt>
                <c:pt idx="22">
                  <c:v>0.72816145433212576</c:v>
                </c:pt>
                <c:pt idx="23">
                  <c:v>0.79495146547559625</c:v>
                </c:pt>
                <c:pt idx="24">
                  <c:v>0.86454542357399133</c:v>
                </c:pt>
                <c:pt idx="25">
                  <c:v>0.93692212963350063</c:v>
                </c:pt>
                <c:pt idx="26">
                  <c:v>1.0120595370083296</c:v>
                </c:pt>
                <c:pt idx="27">
                  <c:v>1.089934758116321</c:v>
                </c:pt>
                <c:pt idx="28">
                  <c:v>1.1705240714107301</c:v>
                </c:pt>
                <c:pt idx="29">
                  <c:v>1.2538029286060426</c:v>
                </c:pt>
                <c:pt idx="30">
                  <c:v>1.3397459621556129</c:v>
                </c:pt>
                <c:pt idx="31">
                  <c:v>1.4283269929788767</c:v>
                </c:pt>
                <c:pt idx="32">
                  <c:v>1.5195190384357404</c:v>
                </c:pt>
                <c:pt idx="33">
                  <c:v>1.6132943205457595</c:v>
                </c:pt>
                <c:pt idx="34">
                  <c:v>1.7096242744495838</c:v>
                </c:pt>
                <c:pt idx="35">
                  <c:v>1.808479557110082</c:v>
                </c:pt>
                <c:pt idx="36">
                  <c:v>1.9098300562505255</c:v>
                </c:pt>
                <c:pt idx="37">
                  <c:v>2.0136448995270717</c:v>
                </c:pt>
                <c:pt idx="38">
                  <c:v>2.1198924639327799</c:v>
                </c:pt>
                <c:pt idx="39">
                  <c:v>2.228540385430291</c:v>
                </c:pt>
                <c:pt idx="40">
                  <c:v>2.3395555688102201</c:v>
                </c:pt>
                <c:pt idx="41">
                  <c:v>2.4529041977722787</c:v>
                </c:pt>
                <c:pt idx="42">
                  <c:v>2.5685517452260576</c:v>
                </c:pt>
                <c:pt idx="43">
                  <c:v>2.6864629838082941</c:v>
                </c:pt>
                <c:pt idx="44">
                  <c:v>2.8066019966134883</c:v>
                </c:pt>
                <c:pt idx="45">
                  <c:v>2.9289321881345245</c:v>
                </c:pt>
                <c:pt idx="46">
                  <c:v>3.0534162954100266</c:v>
                </c:pt>
                <c:pt idx="47">
                  <c:v>3.180016399375015</c:v>
                </c:pt>
                <c:pt idx="48">
                  <c:v>3.3086939364114176</c:v>
                </c:pt>
                <c:pt idx="49">
                  <c:v>3.4394097100949272</c:v>
                </c:pt>
                <c:pt idx="50">
                  <c:v>3.5721239031346066</c:v>
                </c:pt>
                <c:pt idx="51">
                  <c:v>3.706796089501625</c:v>
                </c:pt>
                <c:pt idx="52">
                  <c:v>3.8433852467434173</c:v>
                </c:pt>
                <c:pt idx="53">
                  <c:v>3.981849768479516</c:v>
                </c:pt>
                <c:pt idx="54">
                  <c:v>4.1221474770752682</c:v>
                </c:pt>
                <c:pt idx="55">
                  <c:v>4.2642356364895386</c:v>
                </c:pt>
                <c:pt idx="56">
                  <c:v>4.4080709652925325</c:v>
                </c:pt>
                <c:pt idx="57">
                  <c:v>4.5536096498497276</c:v>
                </c:pt>
                <c:pt idx="58">
                  <c:v>4.7008073576679514</c:v>
                </c:pt>
                <c:pt idx="59">
                  <c:v>4.8496192508994564</c:v>
                </c:pt>
                <c:pt idx="60">
                  <c:v>4.9999999999999991</c:v>
                </c:pt>
                <c:pt idx="61">
                  <c:v>5.1519037975366286</c:v>
                </c:pt>
                <c:pt idx="62">
                  <c:v>5.3052843721410916</c:v>
                </c:pt>
                <c:pt idx="63">
                  <c:v>5.4600950026045325</c:v>
                </c:pt>
                <c:pt idx="64">
                  <c:v>5.616288532109226</c:v>
                </c:pt>
                <c:pt idx="65">
                  <c:v>5.7738173825930055</c:v>
                </c:pt>
                <c:pt idx="66">
                  <c:v>5.9326335692419985</c:v>
                </c:pt>
                <c:pt idx="67">
                  <c:v>6.0926887151072604</c:v>
                </c:pt>
                <c:pt idx="68">
                  <c:v>6.2539340658408804</c:v>
                </c:pt>
                <c:pt idx="69">
                  <c:v>6.416320504546996</c:v>
                </c:pt>
                <c:pt idx="70">
                  <c:v>6.5797985667433112</c:v>
                </c:pt>
                <c:pt idx="71">
                  <c:v>6.7443184554284326</c:v>
                </c:pt>
                <c:pt idx="72">
                  <c:v>6.9098300562505255</c:v>
                </c:pt>
                <c:pt idx="73">
                  <c:v>7.0762829527726323</c:v>
                </c:pt>
                <c:pt idx="74">
                  <c:v>7.2436264418300089</c:v>
                </c:pt>
                <c:pt idx="75">
                  <c:v>7.4118095489747926</c:v>
                </c:pt>
                <c:pt idx="76">
                  <c:v>7.580781044003321</c:v>
                </c:pt>
                <c:pt idx="77">
                  <c:v>7.7504894565613514</c:v>
                </c:pt>
                <c:pt idx="78">
                  <c:v>7.9208830918224056</c:v>
                </c:pt>
                <c:pt idx="79">
                  <c:v>8.0919100462345508</c:v>
                </c:pt>
                <c:pt idx="80">
                  <c:v>8.2635182233306956</c:v>
                </c:pt>
                <c:pt idx="81">
                  <c:v>8.43565534959769</c:v>
                </c:pt>
                <c:pt idx="82">
                  <c:v>8.6082689903993437</c:v>
                </c:pt>
                <c:pt idx="83">
                  <c:v>8.7813065659485261</c:v>
                </c:pt>
                <c:pt idx="84">
                  <c:v>8.9547153673234661</c:v>
                </c:pt>
                <c:pt idx="85">
                  <c:v>9.1284425725234186</c:v>
                </c:pt>
                <c:pt idx="86">
                  <c:v>9.3024352625587454</c:v>
                </c:pt>
                <c:pt idx="87">
                  <c:v>9.4766404375705608</c:v>
                </c:pt>
                <c:pt idx="88">
                  <c:v>9.6510050329749895</c:v>
                </c:pt>
                <c:pt idx="89">
                  <c:v>9.8254759356271659</c:v>
                </c:pt>
                <c:pt idx="90">
                  <c:v>9.9999999999999982</c:v>
                </c:pt>
                <c:pt idx="91">
                  <c:v>10.333333333333332</c:v>
                </c:pt>
                <c:pt idx="92">
                  <c:v>10.666666666666668</c:v>
                </c:pt>
                <c:pt idx="93">
                  <c:v>11</c:v>
                </c:pt>
                <c:pt idx="94">
                  <c:v>11.333333333333332</c:v>
                </c:pt>
                <c:pt idx="95">
                  <c:v>11.666666666666668</c:v>
                </c:pt>
                <c:pt idx="96">
                  <c:v>12</c:v>
                </c:pt>
                <c:pt idx="97">
                  <c:v>12.333333333333336</c:v>
                </c:pt>
                <c:pt idx="98">
                  <c:v>12.666666666666664</c:v>
                </c:pt>
                <c:pt idx="99">
                  <c:v>13</c:v>
                </c:pt>
                <c:pt idx="100">
                  <c:v>13.333333333333336</c:v>
                </c:pt>
                <c:pt idx="101">
                  <c:v>13.666666666666664</c:v>
                </c:pt>
                <c:pt idx="102">
                  <c:v>14</c:v>
                </c:pt>
                <c:pt idx="103">
                  <c:v>14.333333333333336</c:v>
                </c:pt>
                <c:pt idx="104">
                  <c:v>14.666666666666664</c:v>
                </c:pt>
                <c:pt idx="105">
                  <c:v>15</c:v>
                </c:pt>
                <c:pt idx="106">
                  <c:v>15.333333333333336</c:v>
                </c:pt>
                <c:pt idx="107">
                  <c:v>15.666666666666664</c:v>
                </c:pt>
                <c:pt idx="108">
                  <c:v>16</c:v>
                </c:pt>
                <c:pt idx="109">
                  <c:v>16.333333333333336</c:v>
                </c:pt>
                <c:pt idx="110">
                  <c:v>16.666666666666664</c:v>
                </c:pt>
                <c:pt idx="111">
                  <c:v>17</c:v>
                </c:pt>
                <c:pt idx="112">
                  <c:v>17.333333333333336</c:v>
                </c:pt>
                <c:pt idx="113">
                  <c:v>17.666666666666664</c:v>
                </c:pt>
                <c:pt idx="114">
                  <c:v>18</c:v>
                </c:pt>
                <c:pt idx="115">
                  <c:v>18.333333333333336</c:v>
                </c:pt>
                <c:pt idx="116">
                  <c:v>18.666666666666664</c:v>
                </c:pt>
                <c:pt idx="117">
                  <c:v>19</c:v>
                </c:pt>
                <c:pt idx="118">
                  <c:v>19.333333333333336</c:v>
                </c:pt>
                <c:pt idx="119">
                  <c:v>19.666666666666664</c:v>
                </c:pt>
                <c:pt idx="120">
                  <c:v>20</c:v>
                </c:pt>
                <c:pt idx="121">
                  <c:v>20.333333333333336</c:v>
                </c:pt>
                <c:pt idx="122">
                  <c:v>20.666666666666664</c:v>
                </c:pt>
                <c:pt idx="123">
                  <c:v>21</c:v>
                </c:pt>
                <c:pt idx="124">
                  <c:v>21.333333333333336</c:v>
                </c:pt>
                <c:pt idx="125">
                  <c:v>21.666666666666664</c:v>
                </c:pt>
                <c:pt idx="126">
                  <c:v>22</c:v>
                </c:pt>
                <c:pt idx="127">
                  <c:v>22.333333333333336</c:v>
                </c:pt>
                <c:pt idx="128">
                  <c:v>22.666666666666664</c:v>
                </c:pt>
                <c:pt idx="129">
                  <c:v>23</c:v>
                </c:pt>
                <c:pt idx="130">
                  <c:v>23.333333333333336</c:v>
                </c:pt>
                <c:pt idx="131">
                  <c:v>23.666666666666664</c:v>
                </c:pt>
                <c:pt idx="132">
                  <c:v>24</c:v>
                </c:pt>
                <c:pt idx="133">
                  <c:v>24.333333333333336</c:v>
                </c:pt>
                <c:pt idx="134">
                  <c:v>24.666666666666664</c:v>
                </c:pt>
                <c:pt idx="135">
                  <c:v>25</c:v>
                </c:pt>
                <c:pt idx="136">
                  <c:v>25.333333333333336</c:v>
                </c:pt>
                <c:pt idx="137">
                  <c:v>25.666666666666664</c:v>
                </c:pt>
                <c:pt idx="138">
                  <c:v>26</c:v>
                </c:pt>
                <c:pt idx="139">
                  <c:v>26.333333333333336</c:v>
                </c:pt>
                <c:pt idx="140">
                  <c:v>26.666666666666664</c:v>
                </c:pt>
                <c:pt idx="141">
                  <c:v>27</c:v>
                </c:pt>
                <c:pt idx="142">
                  <c:v>27.333333333333336</c:v>
                </c:pt>
                <c:pt idx="143">
                  <c:v>27.666666666666664</c:v>
                </c:pt>
                <c:pt idx="144">
                  <c:v>28</c:v>
                </c:pt>
                <c:pt idx="145">
                  <c:v>28.333333333333336</c:v>
                </c:pt>
                <c:pt idx="146">
                  <c:v>28.666666666666664</c:v>
                </c:pt>
                <c:pt idx="147">
                  <c:v>29</c:v>
                </c:pt>
                <c:pt idx="148">
                  <c:v>29.333333333333336</c:v>
                </c:pt>
                <c:pt idx="149">
                  <c:v>29.666666666666664</c:v>
                </c:pt>
                <c:pt idx="150">
                  <c:v>30</c:v>
                </c:pt>
                <c:pt idx="151">
                  <c:v>29.666666666666664</c:v>
                </c:pt>
                <c:pt idx="152">
                  <c:v>29.333333333333336</c:v>
                </c:pt>
                <c:pt idx="153">
                  <c:v>29</c:v>
                </c:pt>
                <c:pt idx="154">
                  <c:v>28.666666666666664</c:v>
                </c:pt>
                <c:pt idx="155">
                  <c:v>28.333333333333336</c:v>
                </c:pt>
                <c:pt idx="156">
                  <c:v>28</c:v>
                </c:pt>
                <c:pt idx="157">
                  <c:v>27.666666666666664</c:v>
                </c:pt>
                <c:pt idx="158">
                  <c:v>27.333333333333336</c:v>
                </c:pt>
                <c:pt idx="159">
                  <c:v>27</c:v>
                </c:pt>
                <c:pt idx="160">
                  <c:v>26.666666666666664</c:v>
                </c:pt>
                <c:pt idx="161">
                  <c:v>26.333333333333336</c:v>
                </c:pt>
                <c:pt idx="162">
                  <c:v>26</c:v>
                </c:pt>
                <c:pt idx="163">
                  <c:v>25.666666666666664</c:v>
                </c:pt>
                <c:pt idx="164">
                  <c:v>25.333333333333336</c:v>
                </c:pt>
                <c:pt idx="165">
                  <c:v>25</c:v>
                </c:pt>
                <c:pt idx="166">
                  <c:v>24.666666666666664</c:v>
                </c:pt>
                <c:pt idx="167">
                  <c:v>24.333333333333336</c:v>
                </c:pt>
                <c:pt idx="168">
                  <c:v>24</c:v>
                </c:pt>
                <c:pt idx="169">
                  <c:v>23.666666666666664</c:v>
                </c:pt>
                <c:pt idx="170">
                  <c:v>23.333333333333336</c:v>
                </c:pt>
                <c:pt idx="171">
                  <c:v>23</c:v>
                </c:pt>
                <c:pt idx="172">
                  <c:v>22.666666666666664</c:v>
                </c:pt>
                <c:pt idx="173">
                  <c:v>22.333333333333336</c:v>
                </c:pt>
                <c:pt idx="174">
                  <c:v>22</c:v>
                </c:pt>
                <c:pt idx="175">
                  <c:v>21.666666666666664</c:v>
                </c:pt>
                <c:pt idx="176">
                  <c:v>21.333333333333336</c:v>
                </c:pt>
                <c:pt idx="177">
                  <c:v>21</c:v>
                </c:pt>
                <c:pt idx="178">
                  <c:v>20.666666666666664</c:v>
                </c:pt>
                <c:pt idx="179">
                  <c:v>20.333333333333336</c:v>
                </c:pt>
                <c:pt idx="180">
                  <c:v>20</c:v>
                </c:pt>
                <c:pt idx="181">
                  <c:v>19.666666666666664</c:v>
                </c:pt>
                <c:pt idx="182">
                  <c:v>19.333333333333336</c:v>
                </c:pt>
                <c:pt idx="183">
                  <c:v>19</c:v>
                </c:pt>
                <c:pt idx="184">
                  <c:v>18.666666666666664</c:v>
                </c:pt>
                <c:pt idx="185">
                  <c:v>18.333333333333336</c:v>
                </c:pt>
                <c:pt idx="186">
                  <c:v>18</c:v>
                </c:pt>
                <c:pt idx="187">
                  <c:v>17.666666666666664</c:v>
                </c:pt>
                <c:pt idx="188">
                  <c:v>17.333333333333336</c:v>
                </c:pt>
                <c:pt idx="189">
                  <c:v>17</c:v>
                </c:pt>
                <c:pt idx="190">
                  <c:v>16.666666666666664</c:v>
                </c:pt>
                <c:pt idx="191">
                  <c:v>16.333333333333336</c:v>
                </c:pt>
                <c:pt idx="192">
                  <c:v>16</c:v>
                </c:pt>
                <c:pt idx="193">
                  <c:v>15.666666666666671</c:v>
                </c:pt>
                <c:pt idx="194">
                  <c:v>15.333333333333329</c:v>
                </c:pt>
                <c:pt idx="195">
                  <c:v>15</c:v>
                </c:pt>
                <c:pt idx="196">
                  <c:v>14.666666666666671</c:v>
                </c:pt>
                <c:pt idx="197">
                  <c:v>14.333333333333329</c:v>
                </c:pt>
                <c:pt idx="198">
                  <c:v>14</c:v>
                </c:pt>
                <c:pt idx="199">
                  <c:v>13.666666666666671</c:v>
                </c:pt>
                <c:pt idx="200">
                  <c:v>13.333333333333329</c:v>
                </c:pt>
                <c:pt idx="201">
                  <c:v>13</c:v>
                </c:pt>
                <c:pt idx="202">
                  <c:v>12.666666666666671</c:v>
                </c:pt>
                <c:pt idx="203">
                  <c:v>12.333333333333329</c:v>
                </c:pt>
                <c:pt idx="204">
                  <c:v>12</c:v>
                </c:pt>
                <c:pt idx="205">
                  <c:v>11.666666666666671</c:v>
                </c:pt>
                <c:pt idx="206">
                  <c:v>11.333333333333329</c:v>
                </c:pt>
                <c:pt idx="207">
                  <c:v>11</c:v>
                </c:pt>
                <c:pt idx="208">
                  <c:v>10.666666666666671</c:v>
                </c:pt>
                <c:pt idx="209">
                  <c:v>10.333333333333329</c:v>
                </c:pt>
                <c:pt idx="210">
                  <c:v>10</c:v>
                </c:pt>
                <c:pt idx="211">
                  <c:v>10.333333333333329</c:v>
                </c:pt>
                <c:pt idx="212">
                  <c:v>10.666666666666671</c:v>
                </c:pt>
                <c:pt idx="213">
                  <c:v>11</c:v>
                </c:pt>
                <c:pt idx="214">
                  <c:v>11.333333333333329</c:v>
                </c:pt>
                <c:pt idx="215">
                  <c:v>11.666666666666671</c:v>
                </c:pt>
                <c:pt idx="216">
                  <c:v>12</c:v>
                </c:pt>
                <c:pt idx="217">
                  <c:v>12.333333333333329</c:v>
                </c:pt>
                <c:pt idx="218">
                  <c:v>12.666666666666671</c:v>
                </c:pt>
                <c:pt idx="219">
                  <c:v>13</c:v>
                </c:pt>
                <c:pt idx="220">
                  <c:v>13.333333333333329</c:v>
                </c:pt>
                <c:pt idx="221">
                  <c:v>13.666666666666671</c:v>
                </c:pt>
                <c:pt idx="222">
                  <c:v>14</c:v>
                </c:pt>
                <c:pt idx="223">
                  <c:v>14.333333333333329</c:v>
                </c:pt>
                <c:pt idx="224">
                  <c:v>14.666666666666671</c:v>
                </c:pt>
                <c:pt idx="225">
                  <c:v>15</c:v>
                </c:pt>
                <c:pt idx="226">
                  <c:v>15.333333333333329</c:v>
                </c:pt>
                <c:pt idx="227">
                  <c:v>15.666666666666671</c:v>
                </c:pt>
                <c:pt idx="228">
                  <c:v>16</c:v>
                </c:pt>
                <c:pt idx="229">
                  <c:v>16.333333333333329</c:v>
                </c:pt>
                <c:pt idx="230">
                  <c:v>16.666666666666671</c:v>
                </c:pt>
                <c:pt idx="231">
                  <c:v>17</c:v>
                </c:pt>
                <c:pt idx="232">
                  <c:v>17.333333333333329</c:v>
                </c:pt>
                <c:pt idx="233">
                  <c:v>17.666666666666671</c:v>
                </c:pt>
                <c:pt idx="234">
                  <c:v>18</c:v>
                </c:pt>
                <c:pt idx="235">
                  <c:v>18.333333333333329</c:v>
                </c:pt>
                <c:pt idx="236">
                  <c:v>18.666666666666671</c:v>
                </c:pt>
                <c:pt idx="237">
                  <c:v>19</c:v>
                </c:pt>
                <c:pt idx="238">
                  <c:v>19.333333333333329</c:v>
                </c:pt>
                <c:pt idx="239">
                  <c:v>19.666666666666671</c:v>
                </c:pt>
                <c:pt idx="240">
                  <c:v>20</c:v>
                </c:pt>
                <c:pt idx="241">
                  <c:v>19.666666666666671</c:v>
                </c:pt>
                <c:pt idx="242">
                  <c:v>19.333333333333329</c:v>
                </c:pt>
                <c:pt idx="243">
                  <c:v>19</c:v>
                </c:pt>
                <c:pt idx="244">
                  <c:v>18.666666666666671</c:v>
                </c:pt>
                <c:pt idx="245">
                  <c:v>18.333333333333329</c:v>
                </c:pt>
                <c:pt idx="246">
                  <c:v>18</c:v>
                </c:pt>
                <c:pt idx="247">
                  <c:v>17.666666666666671</c:v>
                </c:pt>
                <c:pt idx="248">
                  <c:v>17.333333333333329</c:v>
                </c:pt>
                <c:pt idx="249">
                  <c:v>17</c:v>
                </c:pt>
                <c:pt idx="250">
                  <c:v>16.666666666666671</c:v>
                </c:pt>
                <c:pt idx="251">
                  <c:v>16.333333333333329</c:v>
                </c:pt>
                <c:pt idx="252">
                  <c:v>16</c:v>
                </c:pt>
                <c:pt idx="253">
                  <c:v>15.666666666666671</c:v>
                </c:pt>
                <c:pt idx="254">
                  <c:v>15.333333333333329</c:v>
                </c:pt>
                <c:pt idx="255">
                  <c:v>15</c:v>
                </c:pt>
                <c:pt idx="256">
                  <c:v>14.666666666666671</c:v>
                </c:pt>
                <c:pt idx="257">
                  <c:v>14.333333333333329</c:v>
                </c:pt>
                <c:pt idx="258">
                  <c:v>14</c:v>
                </c:pt>
                <c:pt idx="259">
                  <c:v>13.666666666666671</c:v>
                </c:pt>
                <c:pt idx="260">
                  <c:v>13.333333333333329</c:v>
                </c:pt>
                <c:pt idx="261">
                  <c:v>13</c:v>
                </c:pt>
                <c:pt idx="262">
                  <c:v>12.666666666666671</c:v>
                </c:pt>
                <c:pt idx="263">
                  <c:v>12.333333333333329</c:v>
                </c:pt>
                <c:pt idx="264">
                  <c:v>12</c:v>
                </c:pt>
                <c:pt idx="265">
                  <c:v>11.666666666666671</c:v>
                </c:pt>
                <c:pt idx="266">
                  <c:v>11.333333333333329</c:v>
                </c:pt>
                <c:pt idx="267">
                  <c:v>11</c:v>
                </c:pt>
                <c:pt idx="268">
                  <c:v>10.666666666666671</c:v>
                </c:pt>
                <c:pt idx="269">
                  <c:v>10.333333333333329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9.6666666666666714</c:v>
                </c:pt>
                <c:pt idx="332">
                  <c:v>9.3333333333333286</c:v>
                </c:pt>
                <c:pt idx="333">
                  <c:v>9</c:v>
                </c:pt>
                <c:pt idx="334">
                  <c:v>8.6666666666666714</c:v>
                </c:pt>
                <c:pt idx="335">
                  <c:v>8.3333333333333286</c:v>
                </c:pt>
                <c:pt idx="336">
                  <c:v>8</c:v>
                </c:pt>
                <c:pt idx="337">
                  <c:v>7.6666666666666714</c:v>
                </c:pt>
                <c:pt idx="338">
                  <c:v>7.3333333333333286</c:v>
                </c:pt>
                <c:pt idx="339">
                  <c:v>7</c:v>
                </c:pt>
                <c:pt idx="340">
                  <c:v>6.6666666666666714</c:v>
                </c:pt>
                <c:pt idx="341">
                  <c:v>6.3333333333333286</c:v>
                </c:pt>
                <c:pt idx="342">
                  <c:v>6</c:v>
                </c:pt>
                <c:pt idx="343">
                  <c:v>5.6666666666666714</c:v>
                </c:pt>
                <c:pt idx="344">
                  <c:v>5.3333333333333286</c:v>
                </c:pt>
                <c:pt idx="345">
                  <c:v>5</c:v>
                </c:pt>
                <c:pt idx="346">
                  <c:v>4.6666666666666714</c:v>
                </c:pt>
                <c:pt idx="347">
                  <c:v>4.3333333333333286</c:v>
                </c:pt>
                <c:pt idx="348">
                  <c:v>4</c:v>
                </c:pt>
                <c:pt idx="349">
                  <c:v>3.6666666666666714</c:v>
                </c:pt>
                <c:pt idx="350">
                  <c:v>3.3333333333333286</c:v>
                </c:pt>
                <c:pt idx="351">
                  <c:v>3</c:v>
                </c:pt>
                <c:pt idx="352">
                  <c:v>2.6666666666666714</c:v>
                </c:pt>
                <c:pt idx="353">
                  <c:v>2.3333333333333286</c:v>
                </c:pt>
                <c:pt idx="354">
                  <c:v>2</c:v>
                </c:pt>
                <c:pt idx="355">
                  <c:v>1.6666666666666714</c:v>
                </c:pt>
                <c:pt idx="356">
                  <c:v>1.3333333333333286</c:v>
                </c:pt>
                <c:pt idx="357">
                  <c:v>1</c:v>
                </c:pt>
                <c:pt idx="358">
                  <c:v>0.6666666666666714</c:v>
                </c:pt>
                <c:pt idx="359">
                  <c:v>0.3333333333333286</c:v>
                </c:pt>
                <c:pt idx="3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B-4D72-A62E-5624F59DF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32576"/>
        <c:axId val="136634368"/>
      </c:scatterChart>
      <c:valAx>
        <c:axId val="136632576"/>
        <c:scaling>
          <c:orientation val="minMax"/>
          <c:max val="36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zh-CN"/>
          </a:p>
        </c:txPr>
        <c:crossAx val="136634368"/>
        <c:crosses val="autoZero"/>
        <c:crossBetween val="midCat"/>
        <c:majorUnit val="30"/>
      </c:valAx>
      <c:valAx>
        <c:axId val="136634368"/>
        <c:scaling>
          <c:orientation val="minMax"/>
          <c:max val="6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zh-CN"/>
          </a:p>
        </c:txPr>
        <c:crossAx val="136632576"/>
        <c:crosses val="autoZero"/>
        <c:crossBetween val="midCat"/>
      </c:valAx>
      <c:spPr>
        <a:ln w="12700" cmpd="sng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54427</xdr:colOff>
      <xdr:row>1</xdr:row>
      <xdr:rowOff>43542</xdr:rowOff>
    </xdr:from>
    <xdr:to>
      <xdr:col>15</xdr:col>
      <xdr:colOff>355780</xdr:colOff>
      <xdr:row>14</xdr:row>
      <xdr:rowOff>136071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125186</xdr:colOff>
      <xdr:row>2</xdr:row>
      <xdr:rowOff>130627</xdr:rowOff>
    </xdr:from>
    <xdr:to>
      <xdr:col>10</xdr:col>
      <xdr:colOff>568596</xdr:colOff>
      <xdr:row>13</xdr:row>
      <xdr:rowOff>160562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2"/>
  <sheetViews>
    <sheetView tabSelected="1" workbookViewId="0">
      <selection activeCell="D363" sqref="D363"/>
    </sheetView>
  </sheetViews>
  <sheetFormatPr defaultRowHeight="13.5"/>
  <cols>
    <col min="1" max="1" width="8.75" customWidth="1"/>
  </cols>
  <sheetData>
    <row r="1" spans="1:6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>
      <c r="A2">
        <v>0</v>
      </c>
      <c r="B2">
        <f>A2*PI()/180</f>
        <v>0</v>
      </c>
      <c r="C2">
        <v>40</v>
      </c>
      <c r="D2">
        <f>10*(1-COS(B2))</f>
        <v>0</v>
      </c>
      <c r="E2">
        <f>(C2+D2)*SIN(B2)</f>
        <v>0</v>
      </c>
      <c r="F2">
        <f>(C2+D2)*COS(-B2)</f>
        <v>40</v>
      </c>
    </row>
    <row r="3" spans="1:6">
      <c r="A3">
        <v>1</v>
      </c>
      <c r="B3">
        <f t="shared" ref="B3:B66" si="0">A3*PI()/180</f>
        <v>1.7453292519943295E-2</v>
      </c>
      <c r="C3">
        <v>40</v>
      </c>
      <c r="D3">
        <f>10*(1-COS(B3))</f>
        <v>1.5230484360873042E-3</v>
      </c>
      <c r="E3">
        <f t="shared" ref="E3:E66" si="1">(C3+D3)*SIN(B3)</f>
        <v>0.69812283835167066</v>
      </c>
      <c r="F3">
        <f t="shared" ref="F3:F66" si="2">(C3+D3)*COS(-B3)</f>
        <v>39.995430622724079</v>
      </c>
    </row>
    <row r="4" spans="1:6">
      <c r="A4">
        <v>2</v>
      </c>
      <c r="B4">
        <f t="shared" si="0"/>
        <v>3.4906585039886591E-2</v>
      </c>
      <c r="C4">
        <v>40</v>
      </c>
      <c r="D4">
        <f t="shared" ref="D4:D67" si="3">10*(1-COS(B4))</f>
        <v>6.0917298090423788E-3</v>
      </c>
      <c r="E4">
        <f t="shared" si="1"/>
        <v>1.3961924664044221</v>
      </c>
      <c r="F4">
        <f t="shared" si="2"/>
        <v>39.981721099655665</v>
      </c>
    </row>
    <row r="5" spans="1:6">
      <c r="A5">
        <v>3</v>
      </c>
      <c r="B5">
        <f t="shared" si="0"/>
        <v>5.2359877559829883E-2</v>
      </c>
      <c r="C5">
        <v>40</v>
      </c>
      <c r="D5">
        <f t="shared" si="3"/>
        <v>1.3704652454261668E-2</v>
      </c>
      <c r="E5">
        <f t="shared" si="1"/>
        <v>2.0941554958089239</v>
      </c>
      <c r="F5">
        <f t="shared" si="2"/>
        <v>39.958867260887324</v>
      </c>
    </row>
    <row r="6" spans="1:6">
      <c r="A6">
        <v>4</v>
      </c>
      <c r="B6">
        <f t="shared" si="0"/>
        <v>6.9813170079773182E-2</v>
      </c>
      <c r="C6">
        <v>40</v>
      </c>
      <c r="D6">
        <f t="shared" si="3"/>
        <v>2.4359497401758023E-2</v>
      </c>
      <c r="E6">
        <f t="shared" si="1"/>
        <v>2.7919581824059381</v>
      </c>
      <c r="F6">
        <f t="shared" si="2"/>
        <v>39.926862169283361</v>
      </c>
    </row>
    <row r="7" spans="1:6">
      <c r="A7">
        <v>5</v>
      </c>
      <c r="B7">
        <f t="shared" si="0"/>
        <v>8.7266462599716474E-2</v>
      </c>
      <c r="C7">
        <v>40</v>
      </c>
      <c r="D7">
        <f t="shared" si="3"/>
        <v>3.8053019082544548E-2</v>
      </c>
      <c r="E7">
        <f t="shared" si="1"/>
        <v>3.4895462490482569</v>
      </c>
      <c r="F7">
        <f t="shared" si="2"/>
        <v>39.885696139526239</v>
      </c>
    </row>
    <row r="8" spans="1:6">
      <c r="A8">
        <v>6</v>
      </c>
      <c r="B8">
        <f t="shared" si="0"/>
        <v>0.10471975511965977</v>
      </c>
      <c r="C8">
        <v>40</v>
      </c>
      <c r="D8">
        <f t="shared" si="3"/>
        <v>5.4781046317267101E-2</v>
      </c>
      <c r="E8">
        <f t="shared" si="1"/>
        <v>4.186864709293876</v>
      </c>
      <c r="F8">
        <f t="shared" si="2"/>
        <v>39.835356764744638</v>
      </c>
    </row>
    <row r="9" spans="1:6">
      <c r="A9">
        <v>7</v>
      </c>
      <c r="B9">
        <f t="shared" si="0"/>
        <v>0.12217304763960307</v>
      </c>
      <c r="C9">
        <v>40</v>
      </c>
      <c r="D9">
        <f t="shared" si="3"/>
        <v>7.4538483586780169E-2</v>
      </c>
      <c r="E9">
        <f t="shared" si="1"/>
        <v>4.8838576922590349</v>
      </c>
      <c r="F9">
        <f t="shared" si="2"/>
        <v>39.775828950686119</v>
      </c>
    </row>
    <row r="10" spans="1:6">
      <c r="A10">
        <v>8</v>
      </c>
      <c r="B10">
        <f t="shared" si="0"/>
        <v>0.13962634015954636</v>
      </c>
      <c r="C10">
        <v>40</v>
      </c>
      <c r="D10">
        <f t="shared" si="3"/>
        <v>9.731931258429638E-2</v>
      </c>
      <c r="E10">
        <f t="shared" si="1"/>
        <v>5.5804682689182759</v>
      </c>
      <c r="F10">
        <f t="shared" si="2"/>
        <v>39.707094957386921</v>
      </c>
    </row>
    <row r="11" spans="1:6">
      <c r="A11">
        <v>9</v>
      </c>
      <c r="B11">
        <f t="shared" si="0"/>
        <v>0.15707963267948966</v>
      </c>
      <c r="C11">
        <v>40</v>
      </c>
      <c r="D11">
        <f t="shared" si="3"/>
        <v>0.1231165940486223</v>
      </c>
      <c r="E11">
        <f t="shared" si="1"/>
        <v>6.2766382801368064</v>
      </c>
      <c r="F11">
        <f t="shared" si="2"/>
        <v>39.629134448281121</v>
      </c>
    </row>
    <row r="12" spans="1:6">
      <c r="A12">
        <v>10</v>
      </c>
      <c r="B12">
        <f t="shared" si="0"/>
        <v>0.17453292519943295</v>
      </c>
      <c r="C12">
        <v>40</v>
      </c>
      <c r="D12">
        <f t="shared" si="3"/>
        <v>0.1519224698779198</v>
      </c>
      <c r="E12">
        <f t="shared" si="1"/>
        <v>6.9723081667181726</v>
      </c>
      <c r="F12">
        <f t="shared" si="2"/>
        <v>39.54192454668086</v>
      </c>
    </row>
    <row r="13" spans="1:6">
      <c r="A13">
        <v>11</v>
      </c>
      <c r="B13">
        <f t="shared" si="0"/>
        <v>0.19198621771937624</v>
      </c>
      <c r="C13">
        <v>40</v>
      </c>
      <c r="D13">
        <f t="shared" si="3"/>
        <v>0.18372816552336024</v>
      </c>
      <c r="E13">
        <f t="shared" si="1"/>
        <v>7.6674168017476809</v>
      </c>
      <c r="F13">
        <f t="shared" si="2"/>
        <v>39.445439899549264</v>
      </c>
    </row>
    <row r="14" spans="1:6">
      <c r="A14">
        <v>12</v>
      </c>
      <c r="B14">
        <f t="shared" si="0"/>
        <v>0.20943951023931953</v>
      </c>
      <c r="C14">
        <v>40</v>
      </c>
      <c r="D14">
        <f t="shared" si="3"/>
        <v>0.21852399266194311</v>
      </c>
      <c r="E14">
        <f t="shared" si="1"/>
        <v>8.3619013255089651</v>
      </c>
      <c r="F14">
        <f t="shared" si="2"/>
        <v>39.339652748477278</v>
      </c>
    </row>
    <row r="15" spans="1:6">
      <c r="A15">
        <v>13</v>
      </c>
      <c r="B15">
        <f t="shared" si="0"/>
        <v>0.22689280275926285</v>
      </c>
      <c r="C15">
        <v>40</v>
      </c>
      <c r="D15">
        <f t="shared" si="3"/>
        <v>0.25629935214764754</v>
      </c>
      <c r="E15">
        <f t="shared" si="1"/>
        <v>9.0556969832478629</v>
      </c>
      <c r="F15">
        <f t="shared" si="2"/>
        <v>39.224533007765928</v>
      </c>
    </row>
    <row r="16" spans="1:6">
      <c r="A16">
        <v>14</v>
      </c>
      <c r="B16">
        <f t="shared" si="0"/>
        <v>0.24434609527920614</v>
      </c>
      <c r="C16">
        <v>40</v>
      </c>
      <c r="D16">
        <f t="shared" si="3"/>
        <v>0.29704273724003527</v>
      </c>
      <c r="E16">
        <f t="shared" si="1"/>
        <v>9.7487369660539329</v>
      </c>
      <c r="F16">
        <f t="shared" si="2"/>
        <v>39.100048349505187</v>
      </c>
    </row>
    <row r="17" spans="1:6">
      <c r="A17">
        <v>15</v>
      </c>
      <c r="B17">
        <f t="shared" si="0"/>
        <v>0.26179938779914941</v>
      </c>
      <c r="C17">
        <v>40</v>
      </c>
      <c r="D17">
        <f t="shared" si="3"/>
        <v>0.34074173710931688</v>
      </c>
      <c r="E17">
        <f t="shared" si="1"/>
        <v>10.440952255126037</v>
      </c>
      <c r="F17">
        <f t="shared" si="2"/>
        <v>38.966164295531222</v>
      </c>
    </row>
    <row r="18" spans="1:6">
      <c r="A18">
        <v>16</v>
      </c>
      <c r="B18">
        <f t="shared" si="0"/>
        <v>0.27925268031909273</v>
      </c>
      <c r="C18">
        <v>40</v>
      </c>
      <c r="D18">
        <f t="shared" si="3"/>
        <v>0.38738304061681106</v>
      </c>
      <c r="E18">
        <f t="shared" si="1"/>
        <v>11.132271469683934</v>
      </c>
      <c r="F18">
        <f t="shared" si="2"/>
        <v>38.822844316133818</v>
      </c>
    </row>
    <row r="19" spans="1:6">
      <c r="A19">
        <v>17</v>
      </c>
      <c r="B19">
        <f t="shared" si="0"/>
        <v>0.29670597283903605</v>
      </c>
      <c r="C19">
        <v>40</v>
      </c>
      <c r="D19">
        <f t="shared" si="3"/>
        <v>0.43695244036964564</v>
      </c>
      <c r="E19">
        <f t="shared" si="1"/>
        <v>11.822620718783103</v>
      </c>
      <c r="F19">
        <f t="shared" si="2"/>
        <v>38.670049935376561</v>
      </c>
    </row>
    <row r="20" spans="1:6">
      <c r="A20">
        <v>18</v>
      </c>
      <c r="B20">
        <f t="shared" si="0"/>
        <v>0.31415926535897931</v>
      </c>
      <c r="C20">
        <v>40</v>
      </c>
      <c r="D20">
        <f t="shared" si="3"/>
        <v>0.48943483704846469</v>
      </c>
      <c r="E20">
        <f t="shared" si="1"/>
        <v>12.511923457285004</v>
      </c>
      <c r="F20">
        <f t="shared" si="2"/>
        <v>38.507740842882939</v>
      </c>
    </row>
    <row r="21" spans="1:6">
      <c r="A21">
        <v>19</v>
      </c>
      <c r="B21">
        <f t="shared" si="0"/>
        <v>0.33161255787892258</v>
      </c>
      <c r="C21">
        <v>40</v>
      </c>
      <c r="D21">
        <f t="shared" si="3"/>
        <v>0.54481424400683154</v>
      </c>
      <c r="E21">
        <f t="shared" si="1"/>
        <v>13.20010034622954</v>
      </c>
      <c r="F21">
        <f t="shared" si="2"/>
        <v>38.335875011932231</v>
      </c>
    </row>
    <row r="22" spans="1:6">
      <c r="A22">
        <v>20</v>
      </c>
      <c r="B22">
        <f t="shared" si="0"/>
        <v>0.3490658503988659</v>
      </c>
      <c r="C22">
        <v>40</v>
      </c>
      <c r="D22">
        <f t="shared" si="3"/>
        <v>0.60307379214091572</v>
      </c>
      <c r="E22">
        <f t="shared" si="1"/>
        <v>13.887069117850739</v>
      </c>
      <c r="F22">
        <f t="shared" si="2"/>
        <v>38.154408823700535</v>
      </c>
    </row>
    <row r="23" spans="1:6">
      <c r="A23">
        <v>21</v>
      </c>
      <c r="B23">
        <f t="shared" si="0"/>
        <v>0.36651914291880922</v>
      </c>
      <c r="C23">
        <v>40</v>
      </c>
      <c r="D23">
        <f t="shared" si="3"/>
        <v>0.66419573502798257</v>
      </c>
      <c r="E23">
        <f t="shared" si="1"/>
        <v>14.572744445470722</v>
      </c>
      <c r="F23">
        <f t="shared" si="2"/>
        <v>37.963297197473118</v>
      </c>
    </row>
    <row r="24" spans="1:6">
      <c r="A24">
        <v>22</v>
      </c>
      <c r="B24">
        <f t="shared" si="0"/>
        <v>0.38397243543875248</v>
      </c>
      <c r="C24">
        <v>40</v>
      </c>
      <c r="D24">
        <f t="shared" si="3"/>
        <v>0.72816145433212576</v>
      </c>
      <c r="E24">
        <f t="shared" si="1"/>
        <v>15.257037818500613</v>
      </c>
      <c r="F24">
        <f t="shared" si="2"/>
        <v>37.762493726646113</v>
      </c>
    </row>
    <row r="25" spans="1:6">
      <c r="A25">
        <v>23</v>
      </c>
      <c r="B25">
        <f t="shared" si="0"/>
        <v>0.40142572795869574</v>
      </c>
      <c r="C25">
        <v>40</v>
      </c>
      <c r="D25">
        <f t="shared" si="3"/>
        <v>0.79495146547559625</v>
      </c>
      <c r="E25">
        <f t="shared" si="1"/>
        <v>15.939857422770432</v>
      </c>
      <c r="F25">
        <f t="shared" si="2"/>
        <v>37.551950820327036</v>
      </c>
    </row>
    <row r="26" spans="1:6">
      <c r="A26">
        <v>24</v>
      </c>
      <c r="B26">
        <f t="shared" si="0"/>
        <v>0.41887902047863906</v>
      </c>
      <c r="C26">
        <v>40</v>
      </c>
      <c r="D26">
        <f t="shared" si="3"/>
        <v>0.86454542357399133</v>
      </c>
      <c r="E26">
        <f t="shared" si="1"/>
        <v>16.621108026403039</v>
      </c>
      <c r="F26">
        <f t="shared" si="2"/>
        <v>37.331619850335755</v>
      </c>
    </row>
    <row r="27" spans="1:6">
      <c r="A27">
        <v>25</v>
      </c>
      <c r="B27">
        <f t="shared" si="0"/>
        <v>0.43633231299858238</v>
      </c>
      <c r="C27">
        <v>40</v>
      </c>
      <c r="D27">
        <f t="shared" si="3"/>
        <v>0.93692212963350063</v>
      </c>
      <c r="E27">
        <f t="shared" si="1"/>
        <v>17.300690871440082</v>
      </c>
      <c r="F27">
        <f t="shared" si="2"/>
        <v>37.101451303399799</v>
      </c>
    </row>
    <row r="28" spans="1:6">
      <c r="A28">
        <v>26</v>
      </c>
      <c r="B28">
        <f t="shared" si="0"/>
        <v>0.4537856055185257</v>
      </c>
      <c r="C28">
        <v>40</v>
      </c>
      <c r="D28">
        <f t="shared" si="3"/>
        <v>1.0120595370083296</v>
      </c>
      <c r="E28">
        <f t="shared" si="1"/>
        <v>17.978503571420259</v>
      </c>
      <c r="F28">
        <f t="shared" si="2"/>
        <v>36.861394938330058</v>
      </c>
    </row>
    <row r="29" spans="1:6">
      <c r="A29">
        <v>27</v>
      </c>
      <c r="B29">
        <f t="shared" si="0"/>
        <v>0.47123889803846897</v>
      </c>
      <c r="C29">
        <v>40</v>
      </c>
      <c r="D29">
        <f t="shared" si="3"/>
        <v>1.089934758116321</v>
      </c>
      <c r="E29">
        <f t="shared" si="1"/>
        <v>18.654440015102601</v>
      </c>
      <c r="F29">
        <f t="shared" si="2"/>
        <v>36.611399947956031</v>
      </c>
    </row>
    <row r="30" spans="1:6">
      <c r="A30">
        <v>28</v>
      </c>
      <c r="B30">
        <f t="shared" si="0"/>
        <v>0.48869219055841229</v>
      </c>
      <c r="C30">
        <v>40</v>
      </c>
      <c r="D30">
        <f t="shared" si="3"/>
        <v>1.1705240714107301</v>
      </c>
      <c r="E30">
        <f t="shared" si="1"/>
        <v>19.328390276519333</v>
      </c>
      <c r="F30">
        <f t="shared" si="2"/>
        <v>36.351415125592617</v>
      </c>
    </row>
    <row r="31" spans="1:6">
      <c r="A31">
        <v>29</v>
      </c>
      <c r="B31">
        <f t="shared" si="0"/>
        <v>0.50614548307835561</v>
      </c>
      <c r="C31">
        <v>40</v>
      </c>
      <c r="D31">
        <f t="shared" si="3"/>
        <v>1.2538029286060426</v>
      </c>
      <c r="E31">
        <f t="shared" si="1"/>
        <v>20.000240531534722</v>
      </c>
      <c r="F31">
        <f t="shared" si="2"/>
        <v>36.08138903580376</v>
      </c>
    </row>
    <row r="32" spans="1:6">
      <c r="A32">
        <v>30</v>
      </c>
      <c r="B32">
        <f t="shared" si="0"/>
        <v>0.52359877559829882</v>
      </c>
      <c r="C32">
        <v>40</v>
      </c>
      <c r="D32">
        <f t="shared" si="3"/>
        <v>1.3397459621556129</v>
      </c>
      <c r="E32">
        <f t="shared" si="1"/>
        <v>20.669872981077802</v>
      </c>
      <c r="F32">
        <f t="shared" si="2"/>
        <v>35.801270189221931</v>
      </c>
    </row>
    <row r="33" spans="1:6">
      <c r="A33">
        <v>31</v>
      </c>
      <c r="B33">
        <f t="shared" si="0"/>
        <v>0.54105206811824214</v>
      </c>
      <c r="C33">
        <v>40</v>
      </c>
      <c r="D33">
        <f t="shared" si="3"/>
        <v>1.4283269929788767</v>
      </c>
      <c r="E33">
        <f t="shared" si="1"/>
        <v>21.337165781208071</v>
      </c>
      <c r="F33">
        <f t="shared" si="2"/>
        <v>35.511007221176158</v>
      </c>
    </row>
    <row r="34" spans="1:6">
      <c r="A34">
        <v>32</v>
      </c>
      <c r="B34">
        <f t="shared" si="0"/>
        <v>0.55850536063818546</v>
      </c>
      <c r="C34">
        <v>40</v>
      </c>
      <c r="D34">
        <f t="shared" si="3"/>
        <v>1.5195190384357404</v>
      </c>
      <c r="E34">
        <f t="shared" si="1"/>
        <v>22.00199298016441</v>
      </c>
      <c r="F34">
        <f t="shared" si="2"/>
        <v>35.21054907387591</v>
      </c>
    </row>
    <row r="35" spans="1:6">
      <c r="A35">
        <v>33</v>
      </c>
      <c r="B35">
        <f t="shared" si="0"/>
        <v>0.57595865315812877</v>
      </c>
      <c r="C35">
        <v>40</v>
      </c>
      <c r="D35">
        <f t="shared" si="3"/>
        <v>1.6132943205457595</v>
      </c>
      <c r="E35">
        <f t="shared" si="1"/>
        <v>22.66422446253835</v>
      </c>
      <c r="F35">
        <f t="shared" si="2"/>
        <v>34.899845181892204</v>
      </c>
    </row>
    <row r="36" spans="1:6">
      <c r="A36">
        <v>34</v>
      </c>
      <c r="B36">
        <f t="shared" si="0"/>
        <v>0.59341194567807209</v>
      </c>
      <c r="C36">
        <v>40</v>
      </c>
      <c r="D36">
        <f t="shared" si="3"/>
        <v>1.7096242744495838</v>
      </c>
      <c r="E36">
        <f t="shared" si="1"/>
        <v>23.323725900703405</v>
      </c>
      <c r="F36">
        <f t="shared" si="2"/>
        <v>34.578845660672521</v>
      </c>
    </row>
    <row r="37" spans="1:6">
      <c r="A37">
        <v>35</v>
      </c>
      <c r="B37">
        <f t="shared" si="0"/>
        <v>0.6108652381980153</v>
      </c>
      <c r="C37">
        <v>40</v>
      </c>
      <c r="D37">
        <f t="shared" si="3"/>
        <v>1.808479557110082</v>
      </c>
      <c r="E37">
        <f t="shared" si="1"/>
        <v>23.98035871362276</v>
      </c>
      <c r="F37">
        <f t="shared" si="2"/>
        <v>34.247501497821247</v>
      </c>
    </row>
    <row r="38" spans="1:6">
      <c r="A38">
        <v>36</v>
      </c>
      <c r="B38">
        <f t="shared" si="0"/>
        <v>0.62831853071795862</v>
      </c>
      <c r="C38">
        <v>40</v>
      </c>
      <c r="D38">
        <f t="shared" si="3"/>
        <v>1.9098300562505255</v>
      </c>
      <c r="E38">
        <f t="shared" si="1"/>
        <v>24.633980033147889</v>
      </c>
      <c r="F38">
        <f t="shared" si="2"/>
        <v>33.905764746872634</v>
      </c>
    </row>
    <row r="39" spans="1:6">
      <c r="A39">
        <v>37</v>
      </c>
      <c r="B39">
        <f t="shared" si="0"/>
        <v>0.64577182323790194</v>
      </c>
      <c r="C39">
        <v>40</v>
      </c>
      <c r="D39">
        <f t="shared" si="3"/>
        <v>2.0136448995270717</v>
      </c>
      <c r="E39">
        <f t="shared" si="1"/>
        <v>25.284442677910821</v>
      </c>
      <c r="F39">
        <f t="shared" si="2"/>
        <v>33.553588723279645</v>
      </c>
    </row>
    <row r="40" spans="1:6">
      <c r="A40">
        <v>38</v>
      </c>
      <c r="B40">
        <f t="shared" si="0"/>
        <v>0.66322511575784515</v>
      </c>
      <c r="C40">
        <v>40</v>
      </c>
      <c r="D40">
        <f t="shared" si="3"/>
        <v>2.1198924639327799</v>
      </c>
      <c r="E40">
        <f t="shared" si="1"/>
        <v>25.931595134902928</v>
      </c>
      <c r="F40">
        <f t="shared" si="2"/>
        <v>33.190928202337759</v>
      </c>
    </row>
    <row r="41" spans="1:6">
      <c r="A41">
        <v>39</v>
      </c>
      <c r="B41">
        <f t="shared" si="0"/>
        <v>0.68067840827778847</v>
      </c>
      <c r="C41">
        <v>40</v>
      </c>
      <c r="D41">
        <f t="shared" si="3"/>
        <v>2.228540385430291</v>
      </c>
      <c r="E41">
        <f t="shared" si="1"/>
        <v>26.575281548822844</v>
      </c>
      <c r="F41">
        <f t="shared" si="2"/>
        <v>32.817739618759752</v>
      </c>
    </row>
    <row r="42" spans="1:6">
      <c r="A42">
        <v>40</v>
      </c>
      <c r="B42">
        <f t="shared" si="0"/>
        <v>0.69813170079773179</v>
      </c>
      <c r="C42">
        <v>40</v>
      </c>
      <c r="D42">
        <f t="shared" si="3"/>
        <v>2.3395555688102201</v>
      </c>
      <c r="E42">
        <f t="shared" si="1"/>
        <v>27.215341719265922</v>
      </c>
      <c r="F42">
        <f t="shared" si="2"/>
        <v>32.43398126761425</v>
      </c>
    </row>
    <row r="43" spans="1:6">
      <c r="A43">
        <v>41</v>
      </c>
      <c r="B43">
        <f t="shared" si="0"/>
        <v>0.715584993317675</v>
      </c>
      <c r="C43">
        <v>40</v>
      </c>
      <c r="D43">
        <f t="shared" si="3"/>
        <v>2.4529041977722787</v>
      </c>
      <c r="E43">
        <f t="shared" si="1"/>
        <v>27.851611105817504</v>
      </c>
      <c r="F43">
        <f t="shared" si="2"/>
        <v>32.039613506338277</v>
      </c>
    </row>
    <row r="44" spans="1:6">
      <c r="A44">
        <v>42</v>
      </c>
      <c r="B44">
        <f t="shared" si="0"/>
        <v>0.73303828583761843</v>
      </c>
      <c r="C44">
        <v>40</v>
      </c>
      <c r="D44">
        <f t="shared" si="3"/>
        <v>2.5685517452260576</v>
      </c>
      <c r="E44">
        <f t="shared" si="1"/>
        <v>28.483920841101547</v>
      </c>
      <c r="F44">
        <f t="shared" si="2"/>
        <v>31.634598957531445</v>
      </c>
    </row>
    <row r="45" spans="1:6">
      <c r="A45">
        <v>43</v>
      </c>
      <c r="B45">
        <f t="shared" si="0"/>
        <v>0.75049157835756164</v>
      </c>
      <c r="C45">
        <v>40</v>
      </c>
      <c r="D45">
        <f t="shared" si="3"/>
        <v>2.6864629838082941</v>
      </c>
      <c r="E45">
        <f t="shared" si="1"/>
        <v>29.112097751825804</v>
      </c>
      <c r="F45">
        <f t="shared" si="2"/>
        <v>31.218902712237902</v>
      </c>
    </row>
    <row r="46" spans="1:6">
      <c r="A46">
        <v>44</v>
      </c>
      <c r="B46">
        <f t="shared" si="0"/>
        <v>0.76794487087750496</v>
      </c>
      <c r="C46">
        <v>40</v>
      </c>
      <c r="D46">
        <f t="shared" si="3"/>
        <v>2.8066019966134883</v>
      </c>
      <c r="E46">
        <f t="shared" si="1"/>
        <v>29.735964387854384</v>
      </c>
      <c r="F46">
        <f t="shared" si="2"/>
        <v>30.792492533420052</v>
      </c>
    </row>
    <row r="47" spans="1:6">
      <c r="A47">
        <v>45</v>
      </c>
      <c r="B47">
        <f t="shared" si="0"/>
        <v>0.78539816339744828</v>
      </c>
      <c r="C47">
        <v>40</v>
      </c>
      <c r="D47">
        <f t="shared" si="3"/>
        <v>2.9289321881345245</v>
      </c>
      <c r="E47">
        <f t="shared" si="1"/>
        <v>30.355339059327374</v>
      </c>
      <c r="F47">
        <f t="shared" si="2"/>
        <v>30.355339059327378</v>
      </c>
    </row>
    <row r="48" spans="1:6">
      <c r="A48">
        <v>46</v>
      </c>
      <c r="B48">
        <f t="shared" si="0"/>
        <v>0.80285145591739149</v>
      </c>
      <c r="C48">
        <v>40</v>
      </c>
      <c r="D48">
        <f t="shared" si="3"/>
        <v>3.0534162954100266</v>
      </c>
      <c r="E48">
        <f t="shared" si="1"/>
        <v>30.970035881837074</v>
      </c>
      <c r="F48">
        <f t="shared" si="2"/>
        <v>29.90741600646237</v>
      </c>
    </row>
    <row r="49" spans="1:6">
      <c r="A49">
        <v>47</v>
      </c>
      <c r="B49">
        <f t="shared" si="0"/>
        <v>0.82030474843733492</v>
      </c>
      <c r="C49">
        <v>40</v>
      </c>
      <c r="D49">
        <f t="shared" si="3"/>
        <v>3.180016399375015</v>
      </c>
      <c r="E49">
        <f t="shared" si="1"/>
        <v>31.5798648296594</v>
      </c>
      <c r="F49">
        <f t="shared" si="2"/>
        <v>29.44870037184555</v>
      </c>
    </row>
    <row r="50" spans="1:6">
      <c r="A50">
        <v>48</v>
      </c>
      <c r="B50">
        <f t="shared" si="0"/>
        <v>0.83775804095727813</v>
      </c>
      <c r="C50">
        <v>40</v>
      </c>
      <c r="D50">
        <f t="shared" si="3"/>
        <v>3.3086939364114176</v>
      </c>
      <c r="E50">
        <f t="shared" si="1"/>
        <v>32.184631797028338</v>
      </c>
      <c r="F50">
        <f t="shared" si="2"/>
        <v>28.979172634281177</v>
      </c>
    </row>
    <row r="51" spans="1:6">
      <c r="A51">
        <v>49</v>
      </c>
      <c r="B51">
        <f t="shared" si="0"/>
        <v>0.85521133347722145</v>
      </c>
      <c r="C51">
        <v>40</v>
      </c>
      <c r="D51">
        <f t="shared" si="3"/>
        <v>3.4394097100949272</v>
      </c>
      <c r="E51">
        <f t="shared" si="1"/>
        <v>32.784138667430753</v>
      </c>
      <c r="F51">
        <f t="shared" si="2"/>
        <v>28.49881695432569</v>
      </c>
    </row>
    <row r="52" spans="1:6">
      <c r="A52">
        <v>50</v>
      </c>
      <c r="B52">
        <f t="shared" si="0"/>
        <v>0.87266462599716477</v>
      </c>
      <c r="C52">
        <v>40</v>
      </c>
      <c r="D52">
        <f t="shared" si="3"/>
        <v>3.5721239031346066</v>
      </c>
      <c r="E52">
        <f t="shared" si="1"/>
        <v>33.378183390887862</v>
      </c>
      <c r="F52">
        <f t="shared" si="2"/>
        <v>28.007621372661621</v>
      </c>
    </row>
    <row r="53" spans="1:6">
      <c r="A53">
        <v>51</v>
      </c>
      <c r="B53">
        <f t="shared" si="0"/>
        <v>0.89011791851710798</v>
      </c>
      <c r="C53">
        <v>40</v>
      </c>
      <c r="D53">
        <f t="shared" si="3"/>
        <v>3.706796089501625</v>
      </c>
      <c r="E53">
        <f t="shared" si="1"/>
        <v>33.966560069179508</v>
      </c>
      <c r="F53">
        <f t="shared" si="2"/>
        <v>27.50557800658067</v>
      </c>
    </row>
    <row r="54" spans="1:6">
      <c r="A54">
        <v>52</v>
      </c>
      <c r="B54">
        <f t="shared" si="0"/>
        <v>0.90757121103705141</v>
      </c>
      <c r="C54">
        <v>40</v>
      </c>
      <c r="D54">
        <f t="shared" si="3"/>
        <v>3.8433852467434173</v>
      </c>
      <c r="E54">
        <f t="shared" si="1"/>
        <v>34.549059048956117</v>
      </c>
      <c r="F54">
        <f t="shared" si="2"/>
        <v>26.992683244281253</v>
      </c>
    </row>
    <row r="55" spans="1:6">
      <c r="A55">
        <v>53</v>
      </c>
      <c r="B55">
        <f t="shared" si="0"/>
        <v>0.92502450355699462</v>
      </c>
      <c r="C55">
        <v>40</v>
      </c>
      <c r="D55">
        <f t="shared" si="3"/>
        <v>3.981849768479516</v>
      </c>
      <c r="E55">
        <f t="shared" si="1"/>
        <v>35.125467022673043</v>
      </c>
      <c r="F55">
        <f t="shared" si="2"/>
        <v>26.468937936687411</v>
      </c>
    </row>
    <row r="56" spans="1:6">
      <c r="A56">
        <v>54</v>
      </c>
      <c r="B56">
        <f t="shared" si="0"/>
        <v>0.94247779607693793</v>
      </c>
      <c r="C56">
        <v>40</v>
      </c>
      <c r="D56">
        <f t="shared" si="3"/>
        <v>4.1221474770752682</v>
      </c>
      <c r="E56">
        <f t="shared" si="1"/>
        <v>35.695567137271603</v>
      </c>
      <c r="F56">
        <f t="shared" si="2"/>
        <v>25.934347586498394</v>
      </c>
    </row>
    <row r="57" spans="1:6">
      <c r="A57">
        <v>55</v>
      </c>
      <c r="B57">
        <f t="shared" si="0"/>
        <v>0.95993108859688125</v>
      </c>
      <c r="C57">
        <v>40</v>
      </c>
      <c r="D57">
        <f t="shared" si="3"/>
        <v>4.2642356364895386</v>
      </c>
      <c r="E57">
        <f t="shared" si="1"/>
        <v>36.259139110520046</v>
      </c>
      <c r="F57">
        <f t="shared" si="2"/>
        <v>25.388922534180651</v>
      </c>
    </row>
    <row r="58" spans="1:6">
      <c r="A58">
        <v>56</v>
      </c>
      <c r="B58">
        <f t="shared" si="0"/>
        <v>0.97738438111682457</v>
      </c>
      <c r="C58">
        <v>40</v>
      </c>
      <c r="D58">
        <f t="shared" si="3"/>
        <v>4.4080709652925325</v>
      </c>
      <c r="E58">
        <f t="shared" si="1"/>
        <v>36.815959354918149</v>
      </c>
      <c r="F58">
        <f t="shared" si="2"/>
        <v>24.832678140616899</v>
      </c>
    </row>
    <row r="59" spans="1:6">
      <c r="A59">
        <v>57</v>
      </c>
      <c r="B59">
        <f t="shared" si="0"/>
        <v>0.99483767363676778</v>
      </c>
      <c r="C59">
        <v>40</v>
      </c>
      <c r="D59">
        <f t="shared" si="3"/>
        <v>4.5536096498497276</v>
      </c>
      <c r="E59">
        <f t="shared" si="1"/>
        <v>37.365801109058189</v>
      </c>
      <c r="F59">
        <f t="shared" si="2"/>
        <v>24.26563496613036</v>
      </c>
    </row>
    <row r="60" spans="1:6">
      <c r="A60">
        <v>58</v>
      </c>
      <c r="B60">
        <f t="shared" si="0"/>
        <v>1.0122909661567112</v>
      </c>
      <c r="C60">
        <v>40</v>
      </c>
      <c r="D60">
        <f t="shared" si="3"/>
        <v>4.7008073576679514</v>
      </c>
      <c r="E60">
        <f t="shared" si="1"/>
        <v>37.908434576325469</v>
      </c>
      <c r="F60">
        <f t="shared" si="2"/>
        <v>23.687818945605635</v>
      </c>
    </row>
    <row r="61" spans="1:6">
      <c r="A61">
        <v>59</v>
      </c>
      <c r="B61">
        <f t="shared" si="0"/>
        <v>1.0297442586766543</v>
      </c>
      <c r="C61">
        <v>40</v>
      </c>
      <c r="D61">
        <f t="shared" si="3"/>
        <v>4.8496192508994564</v>
      </c>
      <c r="E61">
        <f t="shared" si="1"/>
        <v>38.443627070810976</v>
      </c>
      <c r="F61">
        <f t="shared" si="2"/>
        <v>23.099261559432172</v>
      </c>
    </row>
    <row r="62" spans="1:6">
      <c r="A62">
        <v>60</v>
      </c>
      <c r="B62">
        <f t="shared" si="0"/>
        <v>1.0471975511965976</v>
      </c>
      <c r="C62">
        <v>40</v>
      </c>
      <c r="D62">
        <f t="shared" si="3"/>
        <v>4.9999999999999991</v>
      </c>
      <c r="E62">
        <f t="shared" si="1"/>
        <v>38.97114317029974</v>
      </c>
      <c r="F62">
        <f t="shared" si="2"/>
        <v>22.500000000000004</v>
      </c>
    </row>
    <row r="63" spans="1:6">
      <c r="A63">
        <v>61</v>
      </c>
      <c r="B63">
        <f t="shared" si="0"/>
        <v>1.064650843716541</v>
      </c>
      <c r="C63">
        <v>40</v>
      </c>
      <c r="D63">
        <f t="shared" si="3"/>
        <v>5.1519037975366286</v>
      </c>
      <c r="E63">
        <f t="shared" si="1"/>
        <v>39.490744876187655</v>
      </c>
      <c r="F63">
        <f t="shared" si="2"/>
        <v>21.890077333482878</v>
      </c>
    </row>
    <row r="64" spans="1:6">
      <c r="A64">
        <v>62</v>
      </c>
      <c r="B64">
        <f t="shared" si="0"/>
        <v>1.0821041362364843</v>
      </c>
      <c r="C64">
        <v>40</v>
      </c>
      <c r="D64">
        <f t="shared" si="3"/>
        <v>5.3052843721410916</v>
      </c>
      <c r="E64">
        <f t="shared" si="1"/>
        <v>40.002191780171131</v>
      </c>
      <c r="F64">
        <f t="shared" si="2"/>
        <v>21.269542656648277</v>
      </c>
    </row>
    <row r="65" spans="1:6">
      <c r="A65">
        <v>63</v>
      </c>
      <c r="B65">
        <f t="shared" si="0"/>
        <v>1.0995574287564276</v>
      </c>
      <c r="C65">
        <v>40</v>
      </c>
      <c r="D65">
        <f t="shared" si="3"/>
        <v>5.4600950026045325</v>
      </c>
      <c r="E65">
        <f t="shared" si="1"/>
        <v>40.50524123754365</v>
      </c>
      <c r="F65">
        <f t="shared" si="2"/>
        <v>20.638451248439704</v>
      </c>
    </row>
    <row r="66" spans="1:6">
      <c r="A66">
        <v>64</v>
      </c>
      <c r="B66">
        <f t="shared" si="0"/>
        <v>1.1170107212763709</v>
      </c>
      <c r="C66">
        <v>40</v>
      </c>
      <c r="D66">
        <f t="shared" si="3"/>
        <v>5.616288532109226</v>
      </c>
      <c r="E66">
        <f t="shared" si="1"/>
        <v>40.999648546924739</v>
      </c>
      <c r="F66">
        <f t="shared" si="2"/>
        <v>19.996864716082165</v>
      </c>
    </row>
    <row r="67" spans="1:6">
      <c r="A67">
        <v>65</v>
      </c>
      <c r="B67">
        <f t="shared" ref="B67:B130" si="4">A67*PI()/180</f>
        <v>1.1344640137963142</v>
      </c>
      <c r="C67">
        <v>40</v>
      </c>
      <c r="D67">
        <f t="shared" si="3"/>
        <v>5.7738173825930055</v>
      </c>
      <c r="E67">
        <f t="shared" ref="E67:E130" si="5">(C67+D67)*SIN(B67)</f>
        <v>41.485167136237607</v>
      </c>
      <c r="F67">
        <f t="shared" ref="F67:F130" si="6">(C67+D67)*COS(-B67)</f>
        <v>19.344851135467671</v>
      </c>
    </row>
    <row r="68" spans="1:6">
      <c r="A68">
        <v>66</v>
      </c>
      <c r="B68">
        <f t="shared" si="4"/>
        <v>1.1519173063162575</v>
      </c>
      <c r="C68">
        <v>40</v>
      </c>
      <c r="D68">
        <f t="shared" ref="D68:D131" si="7">10*(1-COS(B68))</f>
        <v>5.9326335692419985</v>
      </c>
      <c r="E68">
        <f t="shared" si="5"/>
        <v>41.961548754743077</v>
      </c>
      <c r="F68">
        <f t="shared" si="6"/>
        <v>18.682485185584301</v>
      </c>
    </row>
    <row r="69" spans="1:6">
      <c r="A69">
        <v>67</v>
      </c>
      <c r="B69">
        <f t="shared" si="4"/>
        <v>1.1693705988362006</v>
      </c>
      <c r="C69">
        <v>40</v>
      </c>
      <c r="D69">
        <f t="shared" si="7"/>
        <v>6.0926887151072604</v>
      </c>
      <c r="E69">
        <f t="shared" si="5"/>
        <v>42.428543670928754</v>
      </c>
      <c r="F69">
        <f t="shared" si="6"/>
        <v>18.009848276758682</v>
      </c>
    </row>
    <row r="70" spans="1:6">
      <c r="A70">
        <v>68</v>
      </c>
      <c r="B70">
        <f t="shared" si="4"/>
        <v>1.1868238913561442</v>
      </c>
      <c r="C70">
        <v>40</v>
      </c>
      <c r="D70">
        <f t="shared" si="7"/>
        <v>6.2539340658408804</v>
      </c>
      <c r="E70">
        <f t="shared" si="5"/>
        <v>42.885900876044388</v>
      </c>
      <c r="F70">
        <f t="shared" si="6"/>
        <v>17.327028672488854</v>
      </c>
    </row>
    <row r="71" spans="1:6">
      <c r="A71">
        <v>69</v>
      </c>
      <c r="B71">
        <f t="shared" si="4"/>
        <v>1.2042771838760873</v>
      </c>
      <c r="C71">
        <v>40</v>
      </c>
      <c r="D71">
        <f t="shared" si="7"/>
        <v>6.416320504546996</v>
      </c>
      <c r="E71">
        <f t="shared" si="5"/>
        <v>43.333368293065796</v>
      </c>
      <c r="F71">
        <f t="shared" si="6"/>
        <v>16.634121604651988</v>
      </c>
    </row>
    <row r="72" spans="1:6">
      <c r="A72">
        <v>70</v>
      </c>
      <c r="B72">
        <f t="shared" si="4"/>
        <v>1.2217304763960306</v>
      </c>
      <c r="C72">
        <v>40</v>
      </c>
      <c r="D72">
        <f t="shared" si="7"/>
        <v>6.5797985667433112</v>
      </c>
      <c r="E72">
        <f t="shared" si="5"/>
        <v>43.77069299086272</v>
      </c>
      <c r="F72">
        <f t="shared" si="6"/>
        <v>15.931229381878332</v>
      </c>
    </row>
    <row r="73" spans="1:6">
      <c r="A73">
        <v>71</v>
      </c>
      <c r="B73">
        <f t="shared" si="4"/>
        <v>1.2391837689159739</v>
      </c>
      <c r="C73">
        <v>40</v>
      </c>
      <c r="D73">
        <f t="shared" si="7"/>
        <v>6.7443184554284326</v>
      </c>
      <c r="E73">
        <f t="shared" si="5"/>
        <v>44.19762140333755</v>
      </c>
      <c r="F73">
        <f t="shared" si="6"/>
        <v>15.218461490891448</v>
      </c>
    </row>
    <row r="74" spans="1:6">
      <c r="A74">
        <v>72</v>
      </c>
      <c r="B74">
        <f t="shared" si="4"/>
        <v>1.2566370614359172</v>
      </c>
      <c r="C74">
        <v>40</v>
      </c>
      <c r="D74">
        <f t="shared" si="7"/>
        <v>6.9098300562505255</v>
      </c>
      <c r="E74">
        <f t="shared" si="5"/>
        <v>44.613899553295312</v>
      </c>
      <c r="F74">
        <f t="shared" si="6"/>
        <v>14.495934690622111</v>
      </c>
    </row>
    <row r="75" spans="1:6">
      <c r="A75">
        <v>73</v>
      </c>
      <c r="B75">
        <f t="shared" si="4"/>
        <v>1.2740903539558606</v>
      </c>
      <c r="C75">
        <v>40</v>
      </c>
      <c r="D75">
        <f t="shared" si="7"/>
        <v>7.0762829527726323</v>
      </c>
      <c r="E75">
        <f t="shared" si="5"/>
        <v>45.019273280798032</v>
      </c>
      <c r="F75">
        <f t="shared" si="6"/>
        <v>13.763773098912045</v>
      </c>
    </row>
    <row r="76" spans="1:6">
      <c r="A76">
        <v>74</v>
      </c>
      <c r="B76">
        <f t="shared" si="4"/>
        <v>1.2915436464758039</v>
      </c>
      <c r="C76">
        <v>40</v>
      </c>
      <c r="D76">
        <f t="shared" si="7"/>
        <v>7.2436264418300089</v>
      </c>
      <c r="E76">
        <f t="shared" si="5"/>
        <v>45.413488475749922</v>
      </c>
      <c r="F76">
        <f t="shared" si="6"/>
        <v>13.022108271632089</v>
      </c>
    </row>
    <row r="77" spans="1:6">
      <c r="A77">
        <v>75</v>
      </c>
      <c r="B77">
        <f t="shared" si="4"/>
        <v>1.3089969389957472</v>
      </c>
      <c r="C77">
        <v>40</v>
      </c>
      <c r="D77">
        <f t="shared" si="7"/>
        <v>7.4118095489747926</v>
      </c>
      <c r="E77">
        <f t="shared" si="5"/>
        <v>45.79629131445342</v>
      </c>
      <c r="F77">
        <f t="shared" si="6"/>
        <v>12.271079274048232</v>
      </c>
    </row>
    <row r="78" spans="1:6">
      <c r="A78">
        <v>76</v>
      </c>
      <c r="B78">
        <f t="shared" si="4"/>
        <v>1.3264502315156903</v>
      </c>
      <c r="C78">
        <v>40</v>
      </c>
      <c r="D78">
        <f t="shared" si="7"/>
        <v>7.580781044003321</v>
      </c>
      <c r="E78">
        <f t="shared" si="5"/>
        <v>46.167428499870368</v>
      </c>
      <c r="F78">
        <f t="shared" si="6"/>
        <v>11.51083274427803</v>
      </c>
    </row>
    <row r="79" spans="1:6">
      <c r="A79">
        <v>77</v>
      </c>
      <c r="B79">
        <f t="shared" si="4"/>
        <v>1.3439035240356338</v>
      </c>
      <c r="C79">
        <v>40</v>
      </c>
      <c r="D79">
        <f t="shared" si="7"/>
        <v>7.7504894565613514</v>
      </c>
      <c r="E79">
        <f t="shared" si="5"/>
        <v>46.526647505316376</v>
      </c>
      <c r="F79">
        <f t="shared" si="6"/>
        <v>10.741522948689083</v>
      </c>
    </row>
    <row r="80" spans="1:6">
      <c r="A80">
        <v>78</v>
      </c>
      <c r="B80">
        <f t="shared" si="4"/>
        <v>1.3613568165555769</v>
      </c>
      <c r="C80">
        <v>40</v>
      </c>
      <c r="D80">
        <f t="shared" si="7"/>
        <v>7.9208830918224056</v>
      </c>
      <c r="E80">
        <f t="shared" si="5"/>
        <v>46.873696821311277</v>
      </c>
      <c r="F80">
        <f t="shared" si="6"/>
        <v>9.9633118291009755</v>
      </c>
    </row>
    <row r="81" spans="1:6">
      <c r="A81">
        <v>79</v>
      </c>
      <c r="B81">
        <f t="shared" si="4"/>
        <v>1.3788101090755203</v>
      </c>
      <c r="C81">
        <v>40</v>
      </c>
      <c r="D81">
        <f t="shared" si="7"/>
        <v>8.0919100462345508</v>
      </c>
      <c r="E81">
        <f t="shared" si="5"/>
        <v>47.208326205303642</v>
      </c>
      <c r="F81">
        <f t="shared" si="6"/>
        <v>9.1763690416611823</v>
      </c>
    </row>
    <row r="82" spans="1:6">
      <c r="A82">
        <v>80</v>
      </c>
      <c r="B82">
        <f t="shared" si="4"/>
        <v>1.3962634015954636</v>
      </c>
      <c r="C82">
        <v>40</v>
      </c>
      <c r="D82">
        <f t="shared" si="7"/>
        <v>8.2635182233306956</v>
      </c>
      <c r="E82">
        <f t="shared" si="5"/>
        <v>47.530286933982055</v>
      </c>
      <c r="F82">
        <f t="shared" si="6"/>
        <v>8.3808719872760626</v>
      </c>
    </row>
    <row r="83" spans="1:6">
      <c r="A83">
        <v>81</v>
      </c>
      <c r="B83">
        <f t="shared" si="4"/>
        <v>1.4137166941154069</v>
      </c>
      <c r="C83">
        <v>40</v>
      </c>
      <c r="D83">
        <f t="shared" si="7"/>
        <v>8.43565534959769</v>
      </c>
      <c r="E83">
        <f t="shared" si="5"/>
        <v>47.839332057882146</v>
      </c>
      <c r="F83">
        <f t="shared" si="6"/>
        <v>7.5770058334873136</v>
      </c>
    </row>
    <row r="84" spans="1:6">
      <c r="A84">
        <v>82</v>
      </c>
      <c r="B84">
        <f t="shared" si="4"/>
        <v>1.43116998663535</v>
      </c>
      <c r="C84">
        <v>40</v>
      </c>
      <c r="D84">
        <f t="shared" si="7"/>
        <v>8.6082689903993437</v>
      </c>
      <c r="E84">
        <f t="shared" si="5"/>
        <v>48.135216657993517</v>
      </c>
      <c r="F84">
        <f t="shared" si="6"/>
        <v>6.7649635276948787</v>
      </c>
    </row>
    <row r="85" spans="1:6">
      <c r="A85">
        <v>83</v>
      </c>
      <c r="B85">
        <f t="shared" si="4"/>
        <v>1.4486232791552935</v>
      </c>
      <c r="C85">
        <v>40</v>
      </c>
      <c r="D85">
        <f t="shared" si="7"/>
        <v>8.7813065659485261</v>
      </c>
      <c r="E85">
        <f t="shared" si="5"/>
        <v>48.41769810406776</v>
      </c>
      <c r="F85">
        <f t="shared" si="6"/>
        <v>5.9449458016373571</v>
      </c>
    </row>
    <row r="86" spans="1:6">
      <c r="A86">
        <v>84</v>
      </c>
      <c r="B86">
        <f t="shared" si="4"/>
        <v>1.4660765716752369</v>
      </c>
      <c r="C86">
        <v>40</v>
      </c>
      <c r="D86">
        <f t="shared" si="7"/>
        <v>8.9547153673234661</v>
      </c>
      <c r="E86">
        <f t="shared" si="5"/>
        <v>48.686536314324869</v>
      </c>
      <c r="F86">
        <f t="shared" si="6"/>
        <v>5.1171611670517008</v>
      </c>
    </row>
    <row r="87" spans="1:6">
      <c r="A87">
        <v>85</v>
      </c>
      <c r="B87">
        <f t="shared" si="4"/>
        <v>1.4835298641951802</v>
      </c>
      <c r="C87">
        <v>40</v>
      </c>
      <c r="D87">
        <f t="shared" si="7"/>
        <v>9.1284425725234186</v>
      </c>
      <c r="E87">
        <f t="shared" si="5"/>
        <v>48.941494016252626</v>
      </c>
      <c r="F87">
        <f t="shared" si="6"/>
        <v>4.2818259024439476</v>
      </c>
    </row>
    <row r="88" spans="1:6">
      <c r="A88">
        <v>86</v>
      </c>
      <c r="B88">
        <f t="shared" si="4"/>
        <v>1.5009831567151233</v>
      </c>
      <c r="C88">
        <v>40</v>
      </c>
      <c r="D88">
        <f t="shared" si="7"/>
        <v>9.3024352625587454</v>
      </c>
      <c r="E88">
        <f t="shared" si="5"/>
        <v>49.182337008190878</v>
      </c>
      <c r="F88">
        <f t="shared" si="6"/>
        <v>3.439164030914124</v>
      </c>
    </row>
    <row r="89" spans="1:6">
      <c r="A89">
        <v>87</v>
      </c>
      <c r="B89">
        <f t="shared" si="4"/>
        <v>1.5184364492350666</v>
      </c>
      <c r="C89">
        <v>40</v>
      </c>
      <c r="D89">
        <f t="shared" si="7"/>
        <v>9.4766404375705608</v>
      </c>
      <c r="E89">
        <f t="shared" si="5"/>
        <v>49.408834421390424</v>
      </c>
      <c r="F89">
        <f t="shared" si="6"/>
        <v>2.5894072889885646</v>
      </c>
    </row>
    <row r="90" spans="1:6">
      <c r="A90">
        <v>88</v>
      </c>
      <c r="B90">
        <f t="shared" si="4"/>
        <v>1.5358897417550099</v>
      </c>
      <c r="C90">
        <v>40</v>
      </c>
      <c r="D90">
        <f t="shared" si="7"/>
        <v>9.6510050329749895</v>
      </c>
      <c r="E90">
        <f t="shared" si="5"/>
        <v>49.620758982234165</v>
      </c>
      <c r="F90">
        <f t="shared" si="6"/>
        <v>1.7327950864241752</v>
      </c>
    </row>
    <row r="91" spans="1:6">
      <c r="A91">
        <v>89</v>
      </c>
      <c r="B91">
        <f t="shared" si="4"/>
        <v>1.5533430342749535</v>
      </c>
      <c r="C91">
        <v>40</v>
      </c>
      <c r="D91">
        <f t="shared" si="7"/>
        <v>9.8254759356271659</v>
      </c>
      <c r="E91">
        <f t="shared" si="5"/>
        <v>49.817887274307061</v>
      </c>
      <c r="F91">
        <f t="shared" si="6"/>
        <v>0.86957445695964752</v>
      </c>
    </row>
    <row r="92" spans="1:6">
      <c r="A92">
        <v>90</v>
      </c>
      <c r="B92">
        <f t="shared" si="4"/>
        <v>1.5707963267948966</v>
      </c>
      <c r="C92">
        <v>40</v>
      </c>
      <c r="D92">
        <f t="shared" si="7"/>
        <v>9.9999999999999982</v>
      </c>
      <c r="E92">
        <f t="shared" si="5"/>
        <v>50</v>
      </c>
      <c r="F92">
        <f t="shared" si="6"/>
        <v>3.06287113727155E-15</v>
      </c>
    </row>
    <row r="93" spans="1:6">
      <c r="A93">
        <v>91</v>
      </c>
      <c r="B93">
        <f t="shared" si="4"/>
        <v>1.5882496193148399</v>
      </c>
      <c r="C93">
        <v>40</v>
      </c>
      <c r="D93">
        <f>A93/3-20</f>
        <v>10.333333333333332</v>
      </c>
      <c r="E93">
        <f t="shared" si="5"/>
        <v>50.325667322871688</v>
      </c>
      <c r="F93">
        <f t="shared" si="6"/>
        <v>-0.87843779067660155</v>
      </c>
    </row>
    <row r="94" spans="1:6">
      <c r="A94">
        <v>92</v>
      </c>
      <c r="B94">
        <f t="shared" si="4"/>
        <v>1.605702911834783</v>
      </c>
      <c r="C94">
        <v>40</v>
      </c>
      <c r="D94">
        <f t="shared" ref="D94:D152" si="8">A94/3-20</f>
        <v>10.666666666666668</v>
      </c>
      <c r="E94">
        <f t="shared" si="5"/>
        <v>50.635801902300855</v>
      </c>
      <c r="F94">
        <f t="shared" si="6"/>
        <v>-1.7682411662600372</v>
      </c>
    </row>
    <row r="95" spans="1:6">
      <c r="A95">
        <v>93</v>
      </c>
      <c r="B95">
        <f t="shared" si="4"/>
        <v>1.6231562043547263</v>
      </c>
      <c r="C95">
        <v>40</v>
      </c>
      <c r="D95">
        <f t="shared" si="8"/>
        <v>11</v>
      </c>
      <c r="E95">
        <f t="shared" si="5"/>
        <v>50.930106272483265</v>
      </c>
      <c r="F95">
        <f t="shared" si="6"/>
        <v>-2.6691337683901244</v>
      </c>
    </row>
    <row r="96" spans="1:6">
      <c r="A96">
        <v>94</v>
      </c>
      <c r="B96">
        <f t="shared" si="4"/>
        <v>1.6406094968746698</v>
      </c>
      <c r="C96">
        <v>40</v>
      </c>
      <c r="D96">
        <f t="shared" si="8"/>
        <v>11.333333333333332</v>
      </c>
      <c r="E96">
        <f t="shared" si="5"/>
        <v>51.208287913337635</v>
      </c>
      <c r="F96">
        <f t="shared" si="6"/>
        <v>-3.5808323188651001</v>
      </c>
    </row>
    <row r="97" spans="1:6">
      <c r="A97">
        <v>95</v>
      </c>
      <c r="B97">
        <f t="shared" si="4"/>
        <v>1.6580627893946132</v>
      </c>
      <c r="C97">
        <v>40</v>
      </c>
      <c r="D97">
        <f t="shared" si="8"/>
        <v>11.666666666666668</v>
      </c>
      <c r="E97">
        <f t="shared" si="5"/>
        <v>51.470059401406857</v>
      </c>
      <c r="F97">
        <f t="shared" si="6"/>
        <v>-4.5030467086290091</v>
      </c>
    </row>
    <row r="98" spans="1:6">
      <c r="A98">
        <v>96</v>
      </c>
      <c r="B98">
        <f t="shared" si="4"/>
        <v>1.6755160819145563</v>
      </c>
      <c r="C98">
        <v>40</v>
      </c>
      <c r="D98">
        <f t="shared" si="8"/>
        <v>12</v>
      </c>
      <c r="E98">
        <f t="shared" si="5"/>
        <v>51.715138559150219</v>
      </c>
      <c r="F98">
        <f t="shared" si="6"/>
        <v>-5.4354800899179736</v>
      </c>
    </row>
    <row r="99" spans="1:6">
      <c r="A99">
        <v>97</v>
      </c>
      <c r="B99">
        <f t="shared" si="4"/>
        <v>1.6929693744344996</v>
      </c>
      <c r="C99">
        <v>40</v>
      </c>
      <c r="D99">
        <f t="shared" si="8"/>
        <v>12.333333333333336</v>
      </c>
      <c r="E99">
        <f t="shared" si="5"/>
        <v>51.943248602562527</v>
      </c>
      <c r="F99">
        <f t="shared" si="6"/>
        <v>-6.3778289715360454</v>
      </c>
    </row>
    <row r="100" spans="1:6">
      <c r="A100">
        <v>98</v>
      </c>
      <c r="B100">
        <f t="shared" si="4"/>
        <v>1.7104226669544429</v>
      </c>
      <c r="C100">
        <v>40</v>
      </c>
      <c r="D100">
        <f t="shared" si="8"/>
        <v>12.666666666666664</v>
      </c>
      <c r="E100">
        <f t="shared" si="5"/>
        <v>52.154118287056036</v>
      </c>
      <c r="F100">
        <f t="shared" si="6"/>
        <v>-7.3297833172301088</v>
      </c>
    </row>
    <row r="101" spans="1:6">
      <c r="A101">
        <v>99</v>
      </c>
      <c r="B101">
        <f t="shared" si="4"/>
        <v>1.7278759594743864</v>
      </c>
      <c r="C101">
        <v>40</v>
      </c>
      <c r="D101">
        <f t="shared" si="8"/>
        <v>13</v>
      </c>
      <c r="E101">
        <f t="shared" si="5"/>
        <v>52.347482051542293</v>
      </c>
      <c r="F101">
        <f t="shared" si="6"/>
        <v>-8.2910266471322451</v>
      </c>
    </row>
    <row r="102" spans="1:6">
      <c r="A102">
        <v>100</v>
      </c>
      <c r="B102">
        <f t="shared" si="4"/>
        <v>1.7453292519943295</v>
      </c>
      <c r="C102">
        <v>40</v>
      </c>
      <c r="D102">
        <f t="shared" si="8"/>
        <v>13.333333333333336</v>
      </c>
      <c r="E102">
        <f t="shared" si="5"/>
        <v>52.523080160651098</v>
      </c>
      <c r="F102">
        <f t="shared" si="6"/>
        <v>-9.2612361422362834</v>
      </c>
    </row>
    <row r="103" spans="1:6">
      <c r="A103">
        <v>101</v>
      </c>
      <c r="B103">
        <f t="shared" si="4"/>
        <v>1.7627825445142729</v>
      </c>
      <c r="C103">
        <v>40</v>
      </c>
      <c r="D103">
        <f t="shared" si="8"/>
        <v>13.666666666666664</v>
      </c>
      <c r="E103">
        <f t="shared" si="5"/>
        <v>52.680658845024631</v>
      </c>
      <c r="F103">
        <f t="shared" si="6"/>
        <v>-10.240082751874571</v>
      </c>
    </row>
    <row r="104" spans="1:6">
      <c r="A104">
        <v>102</v>
      </c>
      <c r="B104">
        <f t="shared" si="4"/>
        <v>1.780235837034216</v>
      </c>
      <c r="C104">
        <v>40</v>
      </c>
      <c r="D104">
        <f t="shared" si="8"/>
        <v>14</v>
      </c>
      <c r="E104">
        <f t="shared" si="5"/>
        <v>52.819970439625507</v>
      </c>
      <c r="F104">
        <f t="shared" si="6"/>
        <v>-11.227231304158993</v>
      </c>
    </row>
    <row r="105" spans="1:6">
      <c r="A105">
        <v>103</v>
      </c>
      <c r="B105">
        <f t="shared" si="4"/>
        <v>1.7976891295541593</v>
      </c>
      <c r="C105">
        <v>40</v>
      </c>
      <c r="D105">
        <f t="shared" si="8"/>
        <v>14.333333333333336</v>
      </c>
      <c r="E105">
        <f t="shared" si="5"/>
        <v>52.940773519997784</v>
      </c>
      <c r="F105">
        <f t="shared" si="6"/>
        <v>-12.222340619349989</v>
      </c>
    </row>
    <row r="106" spans="1:6">
      <c r="A106">
        <v>104</v>
      </c>
      <c r="B106">
        <f t="shared" si="4"/>
        <v>1.8151424220741028</v>
      </c>
      <c r="C106">
        <v>40</v>
      </c>
      <c r="D106">
        <f t="shared" si="8"/>
        <v>14.666666666666664</v>
      </c>
      <c r="E106">
        <f t="shared" si="5"/>
        <v>53.042833036421136</v>
      </c>
      <c r="F106">
        <f t="shared" si="6"/>
        <v>-13.225063626115171</v>
      </c>
    </row>
    <row r="107" spans="1:6">
      <c r="A107">
        <v>105</v>
      </c>
      <c r="B107">
        <f t="shared" si="4"/>
        <v>1.8325957145940461</v>
      </c>
      <c r="C107">
        <v>40</v>
      </c>
      <c r="D107">
        <f t="shared" si="8"/>
        <v>15</v>
      </c>
      <c r="E107">
        <f t="shared" si="5"/>
        <v>53.125920445898757</v>
      </c>
      <c r="F107">
        <f t="shared" si="6"/>
        <v>-14.235047480638647</v>
      </c>
    </row>
    <row r="108" spans="1:6">
      <c r="A108">
        <v>106</v>
      </c>
      <c r="B108">
        <f t="shared" si="4"/>
        <v>1.8500490071139892</v>
      </c>
      <c r="C108">
        <v>40</v>
      </c>
      <c r="D108">
        <f t="shared" si="8"/>
        <v>15.333333333333336</v>
      </c>
      <c r="E108">
        <f t="shared" si="5"/>
        <v>53.189813841920312</v>
      </c>
      <c r="F108">
        <f t="shared" si="6"/>
        <v>-15.251933688540614</v>
      </c>
    </row>
    <row r="109" spans="1:6">
      <c r="A109">
        <v>107</v>
      </c>
      <c r="B109">
        <f t="shared" si="4"/>
        <v>1.8675022996339325</v>
      </c>
      <c r="C109">
        <v>40</v>
      </c>
      <c r="D109">
        <f t="shared" si="8"/>
        <v>15.666666666666664</v>
      </c>
      <c r="E109">
        <f t="shared" si="5"/>
        <v>53.234298081942313</v>
      </c>
      <c r="F109">
        <f t="shared" si="6"/>
        <v>-16.275358229565672</v>
      </c>
    </row>
    <row r="110" spans="1:6">
      <c r="A110">
        <v>108</v>
      </c>
      <c r="B110">
        <f t="shared" si="4"/>
        <v>1.8849555921538759</v>
      </c>
      <c r="C110">
        <v>40</v>
      </c>
      <c r="D110">
        <f t="shared" si="8"/>
        <v>16</v>
      </c>
      <c r="E110">
        <f t="shared" si="5"/>
        <v>53.259164912528604</v>
      </c>
      <c r="F110">
        <f t="shared" si="6"/>
        <v>-17.30495168499705</v>
      </c>
    </row>
    <row r="111" spans="1:6">
      <c r="A111">
        <v>109</v>
      </c>
      <c r="B111">
        <f t="shared" si="4"/>
        <v>1.902408884673819</v>
      </c>
      <c r="C111">
        <v>40</v>
      </c>
      <c r="D111">
        <f t="shared" si="8"/>
        <v>16.333333333333336</v>
      </c>
      <c r="E111">
        <f t="shared" si="5"/>
        <v>53.264213092094849</v>
      </c>
      <c r="F111">
        <f t="shared" si="6"/>
        <v>-18.340339367753145</v>
      </c>
    </row>
    <row r="112" spans="1:6">
      <c r="A112">
        <v>110</v>
      </c>
      <c r="B112">
        <f t="shared" si="4"/>
        <v>1.9198621771937625</v>
      </c>
      <c r="C112">
        <v>40</v>
      </c>
      <c r="D112">
        <f t="shared" si="8"/>
        <v>16.666666666666664</v>
      </c>
      <c r="E112">
        <f t="shared" si="5"/>
        <v>53.249248511201472</v>
      </c>
      <c r="F112">
        <f t="shared" si="6"/>
        <v>-19.381141455121227</v>
      </c>
    </row>
    <row r="113" spans="1:6">
      <c r="A113">
        <v>111</v>
      </c>
      <c r="B113">
        <f t="shared" si="4"/>
        <v>1.9373154697137058</v>
      </c>
      <c r="C113">
        <v>40</v>
      </c>
      <c r="D113">
        <f t="shared" si="8"/>
        <v>17</v>
      </c>
      <c r="E113">
        <f t="shared" si="5"/>
        <v>53.214084310340496</v>
      </c>
      <c r="F113">
        <f t="shared" si="6"/>
        <v>-20.426973124082114</v>
      </c>
    </row>
    <row r="114" spans="1:6">
      <c r="A114">
        <v>112</v>
      </c>
      <c r="B114">
        <f t="shared" si="4"/>
        <v>1.9547687622336491</v>
      </c>
      <c r="C114">
        <v>40</v>
      </c>
      <c r="D114">
        <f t="shared" si="8"/>
        <v>17.333333333333336</v>
      </c>
      <c r="E114">
        <f t="shared" si="5"/>
        <v>53.158540995162483</v>
      </c>
      <c r="F114">
        <f t="shared" si="6"/>
        <v>-21.477444689178959</v>
      </c>
    </row>
    <row r="115" spans="1:6">
      <c r="A115">
        <v>113</v>
      </c>
      <c r="B115">
        <f t="shared" si="4"/>
        <v>1.9722220547535922</v>
      </c>
      <c r="C115">
        <v>40</v>
      </c>
      <c r="D115">
        <f t="shared" si="8"/>
        <v>17.666666666666664</v>
      </c>
      <c r="E115">
        <f t="shared" si="5"/>
        <v>53.082446549090726</v>
      </c>
      <c r="F115">
        <f t="shared" si="6"/>
        <v>-22.532161742881442</v>
      </c>
    </row>
    <row r="116" spans="1:6">
      <c r="A116">
        <v>114</v>
      </c>
      <c r="B116">
        <f t="shared" si="4"/>
        <v>1.9896753472735356</v>
      </c>
      <c r="C116">
        <v>40</v>
      </c>
      <c r="D116">
        <f t="shared" si="8"/>
        <v>18</v>
      </c>
      <c r="E116">
        <f t="shared" si="5"/>
        <v>52.985636543270857</v>
      </c>
      <c r="F116">
        <f t="shared" si="6"/>
        <v>-23.590725298396404</v>
      </c>
    </row>
    <row r="117" spans="1:6">
      <c r="A117">
        <v>115</v>
      </c>
      <c r="B117">
        <f t="shared" si="4"/>
        <v>2.0071286397934789</v>
      </c>
      <c r="C117">
        <v>40</v>
      </c>
      <c r="D117">
        <f t="shared" si="8"/>
        <v>18.333333333333336</v>
      </c>
      <c r="E117">
        <f t="shared" si="5"/>
        <v>52.86795424380459</v>
      </c>
      <c r="F117">
        <f t="shared" si="6"/>
        <v>-24.652731934874129</v>
      </c>
    </row>
    <row r="118" spans="1:6">
      <c r="A118">
        <v>116</v>
      </c>
      <c r="B118">
        <f t="shared" si="4"/>
        <v>2.0245819323134224</v>
      </c>
      <c r="C118">
        <v>40</v>
      </c>
      <c r="D118">
        <f t="shared" si="8"/>
        <v>18.666666666666664</v>
      </c>
      <c r="E118">
        <f t="shared" si="5"/>
        <v>52.729250716217791</v>
      </c>
      <c r="F118">
        <f t="shared" si="6"/>
        <v>-25.717773944959212</v>
      </c>
    </row>
    <row r="119" spans="1:6">
      <c r="A119">
        <v>117</v>
      </c>
      <c r="B119">
        <f t="shared" si="4"/>
        <v>2.0420352248333655</v>
      </c>
      <c r="C119">
        <v>40</v>
      </c>
      <c r="D119">
        <f t="shared" si="8"/>
        <v>19</v>
      </c>
      <c r="E119">
        <f t="shared" si="5"/>
        <v>52.569384927113703</v>
      </c>
      <c r="F119">
        <f t="shared" si="6"/>
        <v>-26.785439484633255</v>
      </c>
    </row>
    <row r="120" spans="1:6">
      <c r="A120">
        <v>118</v>
      </c>
      <c r="B120">
        <f t="shared" si="4"/>
        <v>2.0594885173533086</v>
      </c>
      <c r="C120">
        <v>40</v>
      </c>
      <c r="D120">
        <f t="shared" si="8"/>
        <v>19.333333333333336</v>
      </c>
      <c r="E120">
        <f t="shared" si="5"/>
        <v>52.388223842963008</v>
      </c>
      <c r="F120">
        <f t="shared" si="6"/>
        <v>-27.855312725296173</v>
      </c>
    </row>
    <row r="121" spans="1:6">
      <c r="A121">
        <v>119</v>
      </c>
      <c r="B121">
        <f t="shared" si="4"/>
        <v>2.0769418098732522</v>
      </c>
      <c r="C121">
        <v>40</v>
      </c>
      <c r="D121">
        <f t="shared" si="8"/>
        <v>19.666666666666664</v>
      </c>
      <c r="E121">
        <f t="shared" si="5"/>
        <v>52.185642525983951</v>
      </c>
      <c r="F121">
        <f t="shared" si="6"/>
        <v>-28.92697400803144</v>
      </c>
    </row>
    <row r="122" spans="1:6">
      <c r="A122">
        <v>120</v>
      </c>
      <c r="B122">
        <f t="shared" si="4"/>
        <v>2.0943951023931953</v>
      </c>
      <c r="C122">
        <v>40</v>
      </c>
      <c r="D122">
        <f t="shared" si="8"/>
        <v>20</v>
      </c>
      <c r="E122">
        <f t="shared" si="5"/>
        <v>51.96152422706632</v>
      </c>
      <c r="F122">
        <f t="shared" si="6"/>
        <v>-29.999999999999986</v>
      </c>
    </row>
    <row r="123" spans="1:6">
      <c r="A123">
        <v>121</v>
      </c>
      <c r="B123">
        <f t="shared" si="4"/>
        <v>2.1118483949131388</v>
      </c>
      <c r="C123">
        <v>40</v>
      </c>
      <c r="D123">
        <f t="shared" si="8"/>
        <v>20.333333333333336</v>
      </c>
      <c r="E123">
        <f t="shared" si="5"/>
        <v>51.715760475694111</v>
      </c>
      <c r="F123">
        <f t="shared" si="6"/>
        <v>-31.073963852906608</v>
      </c>
    </row>
    <row r="124" spans="1:6">
      <c r="A124">
        <v>122</v>
      </c>
      <c r="B124">
        <f t="shared" si="4"/>
        <v>2.1293016874330819</v>
      </c>
      <c r="C124">
        <v>40</v>
      </c>
      <c r="D124">
        <f t="shared" si="8"/>
        <v>20.666666666666664</v>
      </c>
      <c r="E124">
        <f t="shared" si="5"/>
        <v>51.448251166823177</v>
      </c>
      <c r="F124">
        <f t="shared" si="6"/>
        <v>-32.148435363481092</v>
      </c>
    </row>
    <row r="125" spans="1:6">
      <c r="A125">
        <v>123</v>
      </c>
      <c r="B125">
        <f t="shared" si="4"/>
        <v>2.1467549799530254</v>
      </c>
      <c r="C125">
        <v>40</v>
      </c>
      <c r="D125">
        <f t="shared" si="8"/>
        <v>21</v>
      </c>
      <c r="E125">
        <f t="shared" si="5"/>
        <v>51.158904644670862</v>
      </c>
      <c r="F125">
        <f t="shared" si="6"/>
        <v>-33.222981135916655</v>
      </c>
    </row>
    <row r="126" spans="1:6">
      <c r="A126">
        <v>124</v>
      </c>
      <c r="B126">
        <f t="shared" si="4"/>
        <v>2.1642082724729685</v>
      </c>
      <c r="C126">
        <v>40</v>
      </c>
      <c r="D126">
        <f t="shared" si="8"/>
        <v>21.333333333333336</v>
      </c>
      <c r="E126">
        <f t="shared" si="5"/>
        <v>50.847637783375895</v>
      </c>
      <c r="F126">
        <f t="shared" si="6"/>
        <v>-34.297164746205794</v>
      </c>
    </row>
    <row r="127" spans="1:6">
      <c r="A127">
        <v>125</v>
      </c>
      <c r="B127">
        <f t="shared" si="4"/>
        <v>2.1816615649929116</v>
      </c>
      <c r="C127">
        <v>40</v>
      </c>
      <c r="D127">
        <f t="shared" si="8"/>
        <v>21.666666666666664</v>
      </c>
      <c r="E127">
        <f t="shared" si="5"/>
        <v>50.514376064487841</v>
      </c>
      <c r="F127">
        <f t="shared" si="6"/>
        <v>-35.370546908314495</v>
      </c>
    </row>
    <row r="128" spans="1:6">
      <c r="A128">
        <v>126</v>
      </c>
      <c r="B128">
        <f t="shared" si="4"/>
        <v>2.1991148575128552</v>
      </c>
      <c r="C128">
        <v>40</v>
      </c>
      <c r="D128">
        <f t="shared" si="8"/>
        <v>22</v>
      </c>
      <c r="E128">
        <f t="shared" si="5"/>
        <v>50.159053651246744</v>
      </c>
      <c r="F128">
        <f t="shared" si="6"/>
        <v>-36.442685642133327</v>
      </c>
    </row>
    <row r="129" spans="1:6">
      <c r="A129">
        <v>127</v>
      </c>
      <c r="B129">
        <f t="shared" si="4"/>
        <v>2.2165681500327987</v>
      </c>
      <c r="C129">
        <v>40</v>
      </c>
      <c r="D129">
        <f t="shared" si="8"/>
        <v>22.333333333333336</v>
      </c>
      <c r="E129">
        <f t="shared" si="5"/>
        <v>49.781613459614583</v>
      </c>
      <c r="F129">
        <f t="shared" si="6"/>
        <v>-37.513136443144347</v>
      </c>
    </row>
    <row r="130" spans="1:6">
      <c r="A130">
        <v>128</v>
      </c>
      <c r="B130">
        <f t="shared" si="4"/>
        <v>2.2340214425527418</v>
      </c>
      <c r="C130">
        <v>40</v>
      </c>
      <c r="D130">
        <f t="shared" si="8"/>
        <v>22.666666666666664</v>
      </c>
      <c r="E130">
        <f t="shared" si="5"/>
        <v>49.382007226021244</v>
      </c>
      <c r="F130">
        <f t="shared" si="6"/>
        <v>-38.58145245374125</v>
      </c>
    </row>
    <row r="131" spans="1:6">
      <c r="A131">
        <v>129</v>
      </c>
      <c r="B131">
        <f t="shared" ref="B131:B194" si="9">A131*PI()/180</f>
        <v>2.2514747350726849</v>
      </c>
      <c r="C131">
        <v>40</v>
      </c>
      <c r="D131">
        <f t="shared" si="8"/>
        <v>23</v>
      </c>
      <c r="E131">
        <f t="shared" ref="E131:E194" si="10">(C131+D131)*SIN(B131)</f>
        <v>48.960195571789171</v>
      </c>
      <c r="F131">
        <f t="shared" ref="F131:F194" si="11">(C131+D131)*COS(-B131)</f>
        <v>-39.647184636139748</v>
      </c>
    </row>
    <row r="132" spans="1:6">
      <c r="A132">
        <v>130</v>
      </c>
      <c r="B132">
        <f t="shared" si="9"/>
        <v>2.2689280275926285</v>
      </c>
      <c r="C132">
        <v>40</v>
      </c>
      <c r="D132">
        <f t="shared" si="8"/>
        <v>23.333333333333336</v>
      </c>
      <c r="E132">
        <f t="shared" si="10"/>
        <v>48.516148064201943</v>
      </c>
      <c r="F132">
        <f t="shared" si="11"/>
        <v>-40.709881946814164</v>
      </c>
    </row>
    <row r="133" spans="1:6">
      <c r="A133">
        <v>131</v>
      </c>
      <c r="B133">
        <f t="shared" si="9"/>
        <v>2.286381320112572</v>
      </c>
      <c r="C133">
        <v>40</v>
      </c>
      <c r="D133">
        <f t="shared" si="8"/>
        <v>23.666666666666664</v>
      </c>
      <c r="E133">
        <f t="shared" si="10"/>
        <v>48.049843274183132</v>
      </c>
      <c r="F133">
        <f t="shared" si="11"/>
        <v>-41.76909151239564</v>
      </c>
    </row>
    <row r="134" spans="1:6">
      <c r="A134">
        <v>132</v>
      </c>
      <c r="B134">
        <f t="shared" si="9"/>
        <v>2.3038346126325151</v>
      </c>
      <c r="C134">
        <v>40</v>
      </c>
      <c r="D134">
        <f t="shared" si="8"/>
        <v>24</v>
      </c>
      <c r="E134">
        <f t="shared" si="10"/>
        <v>47.561268830553232</v>
      </c>
      <c r="F134">
        <f t="shared" si="11"/>
        <v>-42.824358806966927</v>
      </c>
    </row>
    <row r="135" spans="1:6">
      <c r="A135">
        <v>133</v>
      </c>
      <c r="B135">
        <f t="shared" si="9"/>
        <v>2.3212879051524582</v>
      </c>
      <c r="C135">
        <v>40</v>
      </c>
      <c r="D135">
        <f t="shared" si="8"/>
        <v>24.333333333333336</v>
      </c>
      <c r="E135">
        <f t="shared" si="10"/>
        <v>47.050421470833314</v>
      </c>
      <c r="F135">
        <f t="shared" si="11"/>
        <v>-43.8752278306874</v>
      </c>
    </row>
    <row r="136" spans="1:6">
      <c r="A136">
        <v>134</v>
      </c>
      <c r="B136">
        <f t="shared" si="9"/>
        <v>2.3387411976724013</v>
      </c>
      <c r="C136">
        <v>40</v>
      </c>
      <c r="D136">
        <f t="shared" si="8"/>
        <v>24.666666666666664</v>
      </c>
      <c r="E136">
        <f t="shared" si="10"/>
        <v>46.51730708856612</v>
      </c>
      <c r="F136">
        <f t="shared" si="11"/>
        <v>-44.921241289681802</v>
      </c>
    </row>
    <row r="137" spans="1:6">
      <c r="A137">
        <v>135</v>
      </c>
      <c r="B137">
        <f t="shared" si="9"/>
        <v>2.3561944901923448</v>
      </c>
      <c r="C137">
        <v>40</v>
      </c>
      <c r="D137">
        <f t="shared" si="8"/>
        <v>25</v>
      </c>
      <c r="E137">
        <f t="shared" si="10"/>
        <v>45.961940777125591</v>
      </c>
      <c r="F137">
        <f t="shared" si="11"/>
        <v>-45.961940777125584</v>
      </c>
    </row>
    <row r="138" spans="1:6">
      <c r="A138">
        <v>136</v>
      </c>
      <c r="B138">
        <f t="shared" si="9"/>
        <v>2.3736477827122884</v>
      </c>
      <c r="C138">
        <v>40</v>
      </c>
      <c r="D138">
        <f t="shared" si="8"/>
        <v>25.333333333333336</v>
      </c>
      <c r="E138">
        <f t="shared" si="10"/>
        <v>45.384346869987823</v>
      </c>
      <c r="F138">
        <f t="shared" si="11"/>
        <v>-46.99686695545855</v>
      </c>
    </row>
    <row r="139" spans="1:6">
      <c r="A139">
        <v>137</v>
      </c>
      <c r="B139">
        <f t="shared" si="9"/>
        <v>2.3911010752322315</v>
      </c>
      <c r="C139">
        <v>40</v>
      </c>
      <c r="D139">
        <f t="shared" si="8"/>
        <v>25.666666666666664</v>
      </c>
      <c r="E139">
        <f t="shared" si="10"/>
        <v>44.784558977437399</v>
      </c>
      <c r="F139">
        <f t="shared" si="11"/>
        <v>-48.025559739658853</v>
      </c>
    </row>
    <row r="140" spans="1:6">
      <c r="A140">
        <v>138</v>
      </c>
      <c r="B140">
        <f t="shared" si="9"/>
        <v>2.4085543677521746</v>
      </c>
      <c r="C140">
        <v>40</v>
      </c>
      <c r="D140">
        <f t="shared" si="8"/>
        <v>26</v>
      </c>
      <c r="E140">
        <f t="shared" si="10"/>
        <v>44.162620019684653</v>
      </c>
      <c r="F140">
        <f t="shared" si="11"/>
        <v>-49.047558481508005</v>
      </c>
    </row>
    <row r="141" spans="1:6">
      <c r="A141">
        <v>139</v>
      </c>
      <c r="B141">
        <f t="shared" si="9"/>
        <v>2.4260076602721181</v>
      </c>
      <c r="C141">
        <v>40</v>
      </c>
      <c r="D141">
        <f t="shared" si="8"/>
        <v>26.333333333333336</v>
      </c>
      <c r="E141">
        <f t="shared" si="10"/>
        <v>43.518582256370323</v>
      </c>
      <c r="F141">
        <f t="shared" si="11"/>
        <v>-50.062402154777217</v>
      </c>
    </row>
    <row r="142" spans="1:6">
      <c r="A142">
        <v>140</v>
      </c>
      <c r="B142">
        <f t="shared" si="9"/>
        <v>2.4434609527920612</v>
      </c>
      <c r="C142">
        <v>40</v>
      </c>
      <c r="D142">
        <f t="shared" si="8"/>
        <v>26.666666666666664</v>
      </c>
      <c r="E142">
        <f t="shared" si="10"/>
        <v>42.852507312435961</v>
      </c>
      <c r="F142">
        <f t="shared" si="11"/>
        <v>-51.069629541265186</v>
      </c>
    </row>
    <row r="143" spans="1:6">
      <c r="A143">
        <v>141</v>
      </c>
      <c r="B143">
        <f t="shared" si="9"/>
        <v>2.4609142453120043</v>
      </c>
      <c r="C143">
        <v>40</v>
      </c>
      <c r="D143">
        <f t="shared" si="8"/>
        <v>27</v>
      </c>
      <c r="E143">
        <f t="shared" si="10"/>
        <v>42.164466200339128</v>
      </c>
      <c r="F143">
        <f t="shared" si="11"/>
        <v>-52.068779417617037</v>
      </c>
    </row>
    <row r="144" spans="1:6">
      <c r="A144">
        <v>142</v>
      </c>
      <c r="B144">
        <f t="shared" si="9"/>
        <v>2.4783675378319479</v>
      </c>
      <c r="C144">
        <v>40</v>
      </c>
      <c r="D144">
        <f t="shared" si="8"/>
        <v>27.333333333333336</v>
      </c>
      <c r="E144">
        <f t="shared" si="10"/>
        <v>41.454539338594337</v>
      </c>
      <c r="F144">
        <f t="shared" si="11"/>
        <v>-53.059390742852614</v>
      </c>
    </row>
    <row r="145" spans="1:6">
      <c r="A145">
        <v>143</v>
      </c>
      <c r="B145">
        <f t="shared" si="9"/>
        <v>2.4958208303518914</v>
      </c>
      <c r="C145">
        <v>40</v>
      </c>
      <c r="D145">
        <f t="shared" si="8"/>
        <v>27.666666666666664</v>
      </c>
      <c r="E145">
        <f t="shared" si="10"/>
        <v>40.722816566621923</v>
      </c>
      <c r="F145">
        <f t="shared" si="11"/>
        <v>-54.04100284653348</v>
      </c>
    </row>
    <row r="146" spans="1:6">
      <c r="A146">
        <v>144</v>
      </c>
      <c r="B146">
        <f t="shared" si="9"/>
        <v>2.5132741228718345</v>
      </c>
      <c r="C146">
        <v>40</v>
      </c>
      <c r="D146">
        <f t="shared" si="8"/>
        <v>28</v>
      </c>
      <c r="E146">
        <f t="shared" si="10"/>
        <v>39.969397155888181</v>
      </c>
      <c r="F146">
        <f t="shared" si="11"/>
        <v>-55.013155617496416</v>
      </c>
    </row>
    <row r="147" spans="1:6">
      <c r="A147">
        <v>145</v>
      </c>
      <c r="B147">
        <f t="shared" si="9"/>
        <v>2.5307274153917776</v>
      </c>
      <c r="C147">
        <v>40</v>
      </c>
      <c r="D147">
        <f t="shared" si="8"/>
        <v>28.333333333333336</v>
      </c>
      <c r="E147">
        <f t="shared" si="10"/>
        <v>39.194389817321508</v>
      </c>
      <c r="F147">
        <f t="shared" si="11"/>
        <v>-55.975389693081098</v>
      </c>
    </row>
    <row r="148" spans="1:6">
      <c r="A148">
        <v>146</v>
      </c>
      <c r="B148">
        <f t="shared" si="9"/>
        <v>2.5481807079117211</v>
      </c>
      <c r="C148">
        <v>40</v>
      </c>
      <c r="D148">
        <f t="shared" si="8"/>
        <v>28.666666666666664</v>
      </c>
      <c r="E148">
        <f t="shared" si="10"/>
        <v>38.397912704991285</v>
      </c>
      <c r="F148">
        <f t="shared" si="11"/>
        <v>-56.927246648779516</v>
      </c>
    </row>
    <row r="149" spans="1:6">
      <c r="A149">
        <v>147</v>
      </c>
      <c r="B149">
        <f t="shared" si="9"/>
        <v>2.5656340004316647</v>
      </c>
      <c r="C149">
        <v>40</v>
      </c>
      <c r="D149">
        <f t="shared" si="8"/>
        <v>29</v>
      </c>
      <c r="E149">
        <f t="shared" si="10"/>
        <v>37.58009341603686</v>
      </c>
      <c r="F149">
        <f t="shared" si="11"/>
        <v>-57.868269188234265</v>
      </c>
    </row>
    <row r="150" spans="1:6">
      <c r="A150">
        <v>148</v>
      </c>
      <c r="B150">
        <f t="shared" si="9"/>
        <v>2.5830872929516078</v>
      </c>
      <c r="C150">
        <v>40</v>
      </c>
      <c r="D150">
        <f t="shared" si="8"/>
        <v>29.333333333333336</v>
      </c>
      <c r="E150">
        <f t="shared" si="10"/>
        <v>36.741068986835543</v>
      </c>
      <c r="F150">
        <f t="shared" si="11"/>
        <v>-58.798001333512211</v>
      </c>
    </row>
    <row r="151" spans="1:6">
      <c r="A151">
        <v>149</v>
      </c>
      <c r="B151">
        <f t="shared" si="9"/>
        <v>2.6005405854715509</v>
      </c>
      <c r="C151">
        <v>40</v>
      </c>
      <c r="D151">
        <f t="shared" si="8"/>
        <v>29.666666666666664</v>
      </c>
      <c r="E151">
        <f t="shared" si="10"/>
        <v>35.880985885400449</v>
      </c>
      <c r="F151">
        <f t="shared" si="11"/>
        <v>-59.715988615580478</v>
      </c>
    </row>
    <row r="152" spans="1:6">
      <c r="A152">
        <v>150</v>
      </c>
      <c r="B152">
        <f t="shared" si="9"/>
        <v>2.6179938779914944</v>
      </c>
      <c r="C152">
        <v>40</v>
      </c>
      <c r="D152">
        <f t="shared" si="8"/>
        <v>30</v>
      </c>
      <c r="E152">
        <f t="shared" si="10"/>
        <v>34.999999999999993</v>
      </c>
      <c r="F152">
        <f t="shared" si="11"/>
        <v>-60.621778264910709</v>
      </c>
    </row>
    <row r="153" spans="1:6">
      <c r="A153">
        <v>151</v>
      </c>
      <c r="B153">
        <f t="shared" si="9"/>
        <v>2.6354471705114375</v>
      </c>
      <c r="C153">
        <v>40</v>
      </c>
      <c r="D153">
        <f>-A153/3+80</f>
        <v>29.666666666666664</v>
      </c>
      <c r="E153">
        <f t="shared" si="10"/>
        <v>33.775070210494818</v>
      </c>
      <c r="F153">
        <f t="shared" si="11"/>
        <v>-60.931839597377895</v>
      </c>
    </row>
    <row r="154" spans="1:6">
      <c r="A154">
        <v>152</v>
      </c>
      <c r="B154">
        <f t="shared" si="9"/>
        <v>2.6529004630313806</v>
      </c>
      <c r="C154">
        <v>40</v>
      </c>
      <c r="D154">
        <f t="shared" ref="D154:D212" si="12">-A154/3+80</f>
        <v>29.333333333333336</v>
      </c>
      <c r="E154">
        <f t="shared" si="10"/>
        <v>32.55002835315512</v>
      </c>
      <c r="F154">
        <f t="shared" si="11"/>
        <v>-61.217699771552262</v>
      </c>
    </row>
    <row r="155" spans="1:6">
      <c r="A155">
        <v>153</v>
      </c>
      <c r="B155">
        <f t="shared" si="9"/>
        <v>2.6703537555513241</v>
      </c>
      <c r="C155">
        <v>40</v>
      </c>
      <c r="D155">
        <f t="shared" si="12"/>
        <v>29</v>
      </c>
      <c r="E155">
        <f t="shared" si="10"/>
        <v>31.325344482028733</v>
      </c>
      <c r="F155">
        <f t="shared" si="11"/>
        <v>-61.479450168997374</v>
      </c>
    </row>
    <row r="156" spans="1:6">
      <c r="A156">
        <v>154</v>
      </c>
      <c r="B156">
        <f t="shared" si="9"/>
        <v>2.6878070480712677</v>
      </c>
      <c r="C156">
        <v>40</v>
      </c>
      <c r="D156">
        <f t="shared" si="12"/>
        <v>28.666666666666664</v>
      </c>
      <c r="E156">
        <f t="shared" si="10"/>
        <v>30.101485412849971</v>
      </c>
      <c r="F156">
        <f t="shared" si="11"/>
        <v>-61.717191179209465</v>
      </c>
    </row>
    <row r="157" spans="1:6">
      <c r="A157">
        <v>155</v>
      </c>
      <c r="B157">
        <f t="shared" si="9"/>
        <v>2.7052603405912108</v>
      </c>
      <c r="C157">
        <v>40</v>
      </c>
      <c r="D157">
        <f t="shared" si="12"/>
        <v>28.333333333333336</v>
      </c>
      <c r="E157">
        <f t="shared" si="10"/>
        <v>28.878914552281135</v>
      </c>
      <c r="F157">
        <f t="shared" si="11"/>
        <v>-61.931032114171089</v>
      </c>
    </row>
    <row r="158" spans="1:6">
      <c r="A158">
        <v>156</v>
      </c>
      <c r="B158">
        <f t="shared" si="9"/>
        <v>2.7227136331111539</v>
      </c>
      <c r="C158">
        <v>40</v>
      </c>
      <c r="D158">
        <f t="shared" si="12"/>
        <v>28</v>
      </c>
      <c r="E158">
        <f t="shared" si="10"/>
        <v>27.658091729154428</v>
      </c>
      <c r="F158">
        <f t="shared" si="11"/>
        <v>-62.12109111969685</v>
      </c>
    </row>
    <row r="159" spans="1:6">
      <c r="A159">
        <v>157</v>
      </c>
      <c r="B159">
        <f t="shared" si="9"/>
        <v>2.740166925631097</v>
      </c>
      <c r="C159">
        <v>40</v>
      </c>
      <c r="D159">
        <f t="shared" si="12"/>
        <v>27.666666666666664</v>
      </c>
      <c r="E159">
        <f t="shared" si="10"/>
        <v>26.439473027774213</v>
      </c>
      <c r="F159">
        <f t="shared" si="11"/>
        <v>-62.287495083615106</v>
      </c>
    </row>
    <row r="160" spans="1:6">
      <c r="A160">
        <v>158</v>
      </c>
      <c r="B160">
        <f t="shared" si="9"/>
        <v>2.7576202181510405</v>
      </c>
      <c r="C160">
        <v>40</v>
      </c>
      <c r="D160">
        <f t="shared" si="12"/>
        <v>27.333333333333336</v>
      </c>
      <c r="E160">
        <f t="shared" si="10"/>
        <v>25.223510623338093</v>
      </c>
      <c r="F160">
        <f t="shared" si="11"/>
        <v>-62.430379540830351</v>
      </c>
    </row>
    <row r="161" spans="1:6">
      <c r="A161">
        <v>159</v>
      </c>
      <c r="B161">
        <f t="shared" si="9"/>
        <v>2.7750735106709841</v>
      </c>
      <c r="C161">
        <v>40</v>
      </c>
      <c r="D161">
        <f t="shared" si="12"/>
        <v>27</v>
      </c>
      <c r="E161">
        <f t="shared" si="10"/>
        <v>24.010652619535115</v>
      </c>
      <c r="F161">
        <f t="shared" si="11"/>
        <v>-62.549888575312515</v>
      </c>
    </row>
    <row r="162" spans="1:6">
      <c r="A162">
        <v>160</v>
      </c>
      <c r="B162">
        <f t="shared" si="9"/>
        <v>2.7925268031909272</v>
      </c>
      <c r="C162">
        <v>40</v>
      </c>
      <c r="D162">
        <f t="shared" si="12"/>
        <v>26.666666666666664</v>
      </c>
      <c r="E162">
        <f t="shared" si="10"/>
        <v>22.801342888377921</v>
      </c>
      <c r="F162">
        <f t="shared" si="11"/>
        <v>-62.646174719060546</v>
      </c>
    </row>
    <row r="163" spans="1:6">
      <c r="A163">
        <v>161</v>
      </c>
      <c r="B163">
        <f t="shared" si="9"/>
        <v>2.8099800957108703</v>
      </c>
      <c r="C163">
        <v>40</v>
      </c>
      <c r="D163">
        <f t="shared" si="12"/>
        <v>26.333333333333336</v>
      </c>
      <c r="E163">
        <f t="shared" si="10"/>
        <v>21.596020912324754</v>
      </c>
      <c r="F163">
        <f t="shared" si="11"/>
        <v>-62.719398848088019</v>
      </c>
    </row>
    <row r="164" spans="1:6">
      <c r="A164">
        <v>162</v>
      </c>
      <c r="B164">
        <f t="shared" si="9"/>
        <v>2.8274333882308138</v>
      </c>
      <c r="C164">
        <v>40</v>
      </c>
      <c r="D164">
        <f t="shared" si="12"/>
        <v>26</v>
      </c>
      <c r="E164">
        <f t="shared" si="10"/>
        <v>20.395121628746537</v>
      </c>
      <c r="F164">
        <f t="shared" si="11"/>
        <v>-62.769730075480133</v>
      </c>
    </row>
    <row r="165" spans="1:6">
      <c r="A165">
        <v>163</v>
      </c>
      <c r="B165">
        <f t="shared" si="9"/>
        <v>2.8448866807507569</v>
      </c>
      <c r="C165">
        <v>40</v>
      </c>
      <c r="D165">
        <f t="shared" si="12"/>
        <v>25.666666666666664</v>
      </c>
      <c r="E165">
        <f t="shared" si="10"/>
        <v>19.199075276793064</v>
      </c>
      <c r="F165">
        <f t="shared" si="11"/>
        <v>-62.797345641572655</v>
      </c>
    </row>
    <row r="166" spans="1:6">
      <c r="A166">
        <v>164</v>
      </c>
      <c r="B166">
        <f t="shared" si="9"/>
        <v>2.8623399732707</v>
      </c>
      <c r="C166">
        <v>40</v>
      </c>
      <c r="D166">
        <f t="shared" si="12"/>
        <v>25.333333333333336</v>
      </c>
      <c r="E166">
        <f t="shared" si="10"/>
        <v>18.008307246710647</v>
      </c>
      <c r="F166">
        <f t="shared" si="11"/>
        <v>-62.802430801303494</v>
      </c>
    </row>
    <row r="167" spans="1:6">
      <c r="A167">
        <v>165</v>
      </c>
      <c r="B167">
        <f t="shared" si="9"/>
        <v>2.8797932657906435</v>
      </c>
      <c r="C167">
        <v>40</v>
      </c>
      <c r="D167">
        <f t="shared" si="12"/>
        <v>25</v>
      </c>
      <c r="E167">
        <f t="shared" si="10"/>
        <v>16.823237931663865</v>
      </c>
      <c r="F167">
        <f t="shared" si="11"/>
        <v>-62.785178708789431</v>
      </c>
    </row>
    <row r="168" spans="1:6">
      <c r="A168">
        <v>166</v>
      </c>
      <c r="B168">
        <f t="shared" si="9"/>
        <v>2.8972465583105871</v>
      </c>
      <c r="C168">
        <v>40</v>
      </c>
      <c r="D168">
        <f t="shared" si="12"/>
        <v>24.666666666666664</v>
      </c>
      <c r="E168">
        <f t="shared" si="10"/>
        <v>15.644282582111844</v>
      </c>
      <c r="F168">
        <f t="shared" si="11"/>
        <v>-62.745790299181095</v>
      </c>
    </row>
    <row r="169" spans="1:6">
      <c r="A169">
        <v>167</v>
      </c>
      <c r="B169">
        <f t="shared" si="9"/>
        <v>2.9146998508305306</v>
      </c>
      <c r="C169">
        <v>40</v>
      </c>
      <c r="D169">
        <f t="shared" si="12"/>
        <v>24.333333333333336</v>
      </c>
      <c r="E169">
        <f t="shared" si="10"/>
        <v>14.471851162788637</v>
      </c>
      <c r="F169">
        <f t="shared" si="11"/>
        <v>-62.684474167850141</v>
      </c>
    </row>
    <row r="170" spans="1:6">
      <c r="A170">
        <v>168</v>
      </c>
      <c r="B170">
        <f t="shared" si="9"/>
        <v>2.9321531433504737</v>
      </c>
      <c r="C170">
        <v>40</v>
      </c>
      <c r="D170">
        <f t="shared" si="12"/>
        <v>24</v>
      </c>
      <c r="E170">
        <f t="shared" si="10"/>
        <v>13.306348212336596</v>
      </c>
      <c r="F170">
        <f t="shared" si="11"/>
        <v>-62.601446446963564</v>
      </c>
    </row>
    <row r="171" spans="1:6">
      <c r="A171">
        <v>169</v>
      </c>
      <c r="B171">
        <f t="shared" si="9"/>
        <v>2.9496064358704168</v>
      </c>
      <c r="C171">
        <v>40</v>
      </c>
      <c r="D171">
        <f t="shared" si="12"/>
        <v>23.666666666666664</v>
      </c>
      <c r="E171">
        <f t="shared" si="10"/>
        <v>12.148172705640029</v>
      </c>
      <c r="F171">
        <f t="shared" si="11"/>
        <v>-62.496930679501268</v>
      </c>
    </row>
    <row r="172" spans="1:6">
      <c r="A172">
        <v>170</v>
      </c>
      <c r="B172">
        <f t="shared" si="9"/>
        <v>2.9670597283903604</v>
      </c>
      <c r="C172">
        <v>40</v>
      </c>
      <c r="D172">
        <f t="shared" si="12"/>
        <v>23.333333333333336</v>
      </c>
      <c r="E172">
        <f t="shared" si="10"/>
        <v>10.997717918905584</v>
      </c>
      <c r="F172">
        <f t="shared" si="11"/>
        <v>-62.371157690773174</v>
      </c>
    </row>
    <row r="173" spans="1:6">
      <c r="A173">
        <v>171</v>
      </c>
      <c r="B173">
        <f t="shared" si="9"/>
        <v>2.9845130209103035</v>
      </c>
      <c r="C173">
        <v>40</v>
      </c>
      <c r="D173">
        <f t="shared" si="12"/>
        <v>23</v>
      </c>
      <c r="E173">
        <f t="shared" si="10"/>
        <v>9.8553712975345515</v>
      </c>
      <c r="F173">
        <f t="shared" si="11"/>
        <v>-62.224365457493676</v>
      </c>
    </row>
    <row r="174" spans="1:6">
      <c r="A174">
        <v>172</v>
      </c>
      <c r="B174">
        <f t="shared" si="9"/>
        <v>3.0019663134302466</v>
      </c>
      <c r="C174">
        <v>40</v>
      </c>
      <c r="D174">
        <f t="shared" si="12"/>
        <v>22.666666666666664</v>
      </c>
      <c r="E174">
        <f t="shared" si="10"/>
        <v>8.7215143268307855</v>
      </c>
      <c r="F174">
        <f t="shared" si="11"/>
        <v>-62.056798974471732</v>
      </c>
    </row>
    <row r="175" spans="1:6">
      <c r="A175">
        <v>173</v>
      </c>
      <c r="B175">
        <f t="shared" si="9"/>
        <v>3.0194196059501901</v>
      </c>
      <c r="C175">
        <v>40</v>
      </c>
      <c r="D175">
        <f t="shared" si="12"/>
        <v>22.333333333333336</v>
      </c>
      <c r="E175">
        <f t="shared" si="10"/>
        <v>7.5965224055875309</v>
      </c>
      <c r="F175">
        <f t="shared" si="11"/>
        <v>-61.868710118975741</v>
      </c>
    </row>
    <row r="176" spans="1:6">
      <c r="A176">
        <v>174</v>
      </c>
      <c r="B176">
        <f t="shared" si="9"/>
        <v>3.0368728984701332</v>
      </c>
      <c r="C176">
        <v>40</v>
      </c>
      <c r="D176">
        <f t="shared" si="12"/>
        <v>22</v>
      </c>
      <c r="E176">
        <f t="shared" si="10"/>
        <v>6.4807647225945315</v>
      </c>
      <c r="F176">
        <f t="shared" si="11"/>
        <v>-61.660357512832945</v>
      </c>
    </row>
    <row r="177" spans="1:6">
      <c r="A177">
        <v>175</v>
      </c>
      <c r="B177">
        <f t="shared" si="9"/>
        <v>3.0543261909900763</v>
      </c>
      <c r="C177">
        <v>40</v>
      </c>
      <c r="D177">
        <f t="shared" si="12"/>
        <v>21.666666666666664</v>
      </c>
      <c r="E177">
        <f t="shared" si="10"/>
        <v>5.3746041361056154</v>
      </c>
      <c r="F177">
        <f t="shared" si="11"/>
        <v>-61.432006382324303</v>
      </c>
    </row>
    <row r="178" spans="1:6">
      <c r="A178">
        <v>176</v>
      </c>
      <c r="B178">
        <f t="shared" si="9"/>
        <v>3.0717794835100198</v>
      </c>
      <c r="C178">
        <v>40</v>
      </c>
      <c r="D178">
        <f t="shared" si="12"/>
        <v>21.333333333333336</v>
      </c>
      <c r="E178">
        <f t="shared" si="10"/>
        <v>4.2783970563063658</v>
      </c>
      <c r="F178">
        <f t="shared" si="11"/>
        <v>-61.183928415935888</v>
      </c>
    </row>
    <row r="179" spans="1:6">
      <c r="A179">
        <v>177</v>
      </c>
      <c r="B179">
        <f t="shared" si="9"/>
        <v>3.0892327760299634</v>
      </c>
      <c r="C179">
        <v>40</v>
      </c>
      <c r="D179">
        <f t="shared" si="12"/>
        <v>21</v>
      </c>
      <c r="E179">
        <f t="shared" si="10"/>
        <v>3.1924933308195724</v>
      </c>
      <c r="F179">
        <f t="shared" si="11"/>
        <v>-60.916401620029006</v>
      </c>
    </row>
    <row r="180" spans="1:6">
      <c r="A180">
        <v>178</v>
      </c>
      <c r="B180">
        <f t="shared" si="9"/>
        <v>3.1066860685499069</v>
      </c>
      <c r="C180">
        <v>40</v>
      </c>
      <c r="D180">
        <f t="shared" si="12"/>
        <v>20.666666666666664</v>
      </c>
      <c r="E180">
        <f t="shared" si="10"/>
        <v>2.1172361332850422</v>
      </c>
      <c r="F180">
        <f t="shared" si="11"/>
        <v>-60.629710172491805</v>
      </c>
    </row>
    <row r="181" spans="1:6">
      <c r="A181">
        <v>179</v>
      </c>
      <c r="B181">
        <f t="shared" si="9"/>
        <v>3.12413936106985</v>
      </c>
      <c r="C181">
        <v>40</v>
      </c>
      <c r="D181">
        <f t="shared" si="12"/>
        <v>20.333333333333336</v>
      </c>
      <c r="E181">
        <f t="shared" si="10"/>
        <v>1.0529618550494342</v>
      </c>
      <c r="F181">
        <f t="shared" si="11"/>
        <v>-60.324144274435611</v>
      </c>
    </row>
    <row r="182" spans="1:6">
      <c r="A182">
        <v>180</v>
      </c>
      <c r="B182">
        <f t="shared" si="9"/>
        <v>3.1415926535897931</v>
      </c>
      <c r="C182">
        <v>40</v>
      </c>
      <c r="D182">
        <f t="shared" si="12"/>
        <v>20</v>
      </c>
      <c r="E182">
        <f t="shared" si="10"/>
        <v>7.3508907294517201E-15</v>
      </c>
      <c r="F182">
        <f t="shared" si="11"/>
        <v>-60</v>
      </c>
    </row>
    <row r="183" spans="1:6">
      <c r="A183">
        <v>181</v>
      </c>
      <c r="B183">
        <f t="shared" si="9"/>
        <v>3.1590459461097362</v>
      </c>
      <c r="C183">
        <v>40</v>
      </c>
      <c r="D183">
        <f t="shared" si="12"/>
        <v>19.666666666666664</v>
      </c>
      <c r="E183">
        <f t="shared" si="10"/>
        <v>-1.0413269174245638</v>
      </c>
      <c r="F183">
        <f t="shared" si="11"/>
        <v>-59.657579144331343</v>
      </c>
    </row>
    <row r="184" spans="1:6">
      <c r="A184">
        <v>182</v>
      </c>
      <c r="B184">
        <f t="shared" si="9"/>
        <v>3.1764992386296798</v>
      </c>
      <c r="C184">
        <v>40</v>
      </c>
      <c r="D184">
        <f t="shared" si="12"/>
        <v>19.333333333333336</v>
      </c>
      <c r="E184">
        <f t="shared" si="10"/>
        <v>-2.0707034710150536</v>
      </c>
      <c r="F184">
        <f t="shared" si="11"/>
        <v>-59.297189069799686</v>
      </c>
    </row>
    <row r="185" spans="1:6">
      <c r="A185">
        <v>183</v>
      </c>
      <c r="B185">
        <f t="shared" si="9"/>
        <v>3.1939525311496229</v>
      </c>
      <c r="C185">
        <v>40</v>
      </c>
      <c r="D185">
        <f t="shared" si="12"/>
        <v>19</v>
      </c>
      <c r="E185">
        <f t="shared" si="10"/>
        <v>-3.0878214183336699</v>
      </c>
      <c r="F185">
        <f t="shared" si="11"/>
        <v>-58.919142550519858</v>
      </c>
    </row>
    <row r="186" spans="1:6">
      <c r="A186">
        <v>184</v>
      </c>
      <c r="B186">
        <f t="shared" si="9"/>
        <v>3.211405823669566</v>
      </c>
      <c r="C186">
        <v>40</v>
      </c>
      <c r="D186">
        <f t="shared" si="12"/>
        <v>18.666666666666664</v>
      </c>
      <c r="E186">
        <f t="shared" si="10"/>
        <v>-4.0923797929886563</v>
      </c>
      <c r="F186">
        <f t="shared" si="11"/>
        <v>-58.523757615243021</v>
      </c>
    </row>
    <row r="187" spans="1:6">
      <c r="A187">
        <v>185</v>
      </c>
      <c r="B187">
        <f t="shared" si="9"/>
        <v>3.2288591161895095</v>
      </c>
      <c r="C187">
        <v>40</v>
      </c>
      <c r="D187">
        <f t="shared" si="12"/>
        <v>18.333333333333336</v>
      </c>
      <c r="E187">
        <f t="shared" si="10"/>
        <v>-5.0840849936133798</v>
      </c>
      <c r="F187">
        <f t="shared" si="11"/>
        <v>-58.111357388685157</v>
      </c>
    </row>
    <row r="188" spans="1:6">
      <c r="A188">
        <v>186</v>
      </c>
      <c r="B188">
        <f t="shared" si="9"/>
        <v>3.2463124087094526</v>
      </c>
      <c r="C188">
        <v>40</v>
      </c>
      <c r="D188">
        <f t="shared" si="12"/>
        <v>18</v>
      </c>
      <c r="E188">
        <f t="shared" si="10"/>
        <v>-6.0626508695238774</v>
      </c>
      <c r="F188">
        <f t="shared" si="11"/>
        <v>-57.682269931359855</v>
      </c>
    </row>
    <row r="189" spans="1:6">
      <c r="A189">
        <v>187</v>
      </c>
      <c r="B189">
        <f t="shared" si="9"/>
        <v>3.2637657012293966</v>
      </c>
      <c r="C189">
        <v>40</v>
      </c>
      <c r="D189">
        <f t="shared" si="12"/>
        <v>17.666666666666664</v>
      </c>
      <c r="E189">
        <f t="shared" si="10"/>
        <v>-7.0277988030301861</v>
      </c>
      <c r="F189">
        <f t="shared" si="11"/>
        <v>-57.236828077982899</v>
      </c>
    </row>
    <row r="190" spans="1:6">
      <c r="A190">
        <v>188</v>
      </c>
      <c r="B190">
        <f t="shared" si="9"/>
        <v>3.2812189937493397</v>
      </c>
      <c r="C190">
        <v>40</v>
      </c>
      <c r="D190">
        <f t="shared" si="12"/>
        <v>17.333333333333336</v>
      </c>
      <c r="E190">
        <f t="shared" si="10"/>
        <v>-7.9792577883770903</v>
      </c>
      <c r="F190">
        <f t="shared" si="11"/>
        <v>-56.775369274516699</v>
      </c>
    </row>
    <row r="191" spans="1:6">
      <c r="A191">
        <v>189</v>
      </c>
      <c r="B191">
        <f t="shared" si="9"/>
        <v>3.2986722862692828</v>
      </c>
      <c r="C191">
        <v>40</v>
      </c>
      <c r="D191">
        <f t="shared" si="12"/>
        <v>17</v>
      </c>
      <c r="E191">
        <f t="shared" si="10"/>
        <v>-8.9167645072931521</v>
      </c>
      <c r="F191">
        <f t="shared" si="11"/>
        <v>-56.298235413922853</v>
      </c>
    </row>
    <row r="192" spans="1:6">
      <c r="A192">
        <v>190</v>
      </c>
      <c r="B192">
        <f t="shared" si="9"/>
        <v>3.3161255787892263</v>
      </c>
      <c r="C192">
        <v>40</v>
      </c>
      <c r="D192">
        <f t="shared" si="12"/>
        <v>16.666666666666664</v>
      </c>
      <c r="E192">
        <f t="shared" si="10"/>
        <v>-9.8400634011260593</v>
      </c>
      <c r="F192">
        <f t="shared" si="11"/>
        <v>-55.805772670691788</v>
      </c>
    </row>
    <row r="193" spans="1:6">
      <c r="A193">
        <v>191</v>
      </c>
      <c r="B193">
        <f t="shared" si="9"/>
        <v>3.3335788713091694</v>
      </c>
      <c r="C193">
        <v>40</v>
      </c>
      <c r="D193">
        <f t="shared" si="12"/>
        <v>16.333333333333336</v>
      </c>
      <c r="E193">
        <f t="shared" si="10"/>
        <v>-10.748906739545353</v>
      </c>
      <c r="F193">
        <f t="shared" si="11"/>
        <v>-55.298331334218403</v>
      </c>
    </row>
    <row r="194" spans="1:6">
      <c r="A194">
        <v>192</v>
      </c>
      <c r="B194">
        <f t="shared" si="9"/>
        <v>3.3510321638291125</v>
      </c>
      <c r="C194">
        <v>40</v>
      </c>
      <c r="D194">
        <f t="shared" si="12"/>
        <v>16</v>
      </c>
      <c r="E194">
        <f t="shared" si="10"/>
        <v>-11.643054685794507</v>
      </c>
      <c r="F194">
        <f t="shared" si="11"/>
        <v>-54.776265641093119</v>
      </c>
    </row>
    <row r="195" spans="1:6">
      <c r="A195">
        <v>193</v>
      </c>
      <c r="B195">
        <f t="shared" ref="B195:B258" si="13">A195*PI()/180</f>
        <v>3.3684854563490561</v>
      </c>
      <c r="C195">
        <v>40</v>
      </c>
      <c r="D195">
        <f t="shared" si="12"/>
        <v>15.666666666666671</v>
      </c>
      <c r="E195">
        <f t="shared" ref="E195:E258" si="14">(C195+D195)*SIN(B195)</f>
        <v>-12.52227535847515</v>
      </c>
      <c r="F195">
        <f t="shared" ref="F195:F258" si="15">(C195+D195)*COS(-B195)</f>
        <v>-54.239933606378102</v>
      </c>
    </row>
    <row r="196" spans="1:6">
      <c r="A196">
        <v>194</v>
      </c>
      <c r="B196">
        <f t="shared" si="13"/>
        <v>3.3859387488689991</v>
      </c>
      <c r="C196">
        <v>40</v>
      </c>
      <c r="D196">
        <f t="shared" si="12"/>
        <v>15.333333333333329</v>
      </c>
      <c r="E196">
        <f t="shared" si="14"/>
        <v>-13.386344889848267</v>
      </c>
      <c r="F196">
        <f t="shared" si="15"/>
        <v>-53.689696853938464</v>
      </c>
    </row>
    <row r="197" spans="1:6">
      <c r="A197">
        <v>195</v>
      </c>
      <c r="B197">
        <f t="shared" si="13"/>
        <v>3.4033920413889422</v>
      </c>
      <c r="C197">
        <v>40</v>
      </c>
      <c r="D197">
        <f t="shared" si="12"/>
        <v>15</v>
      </c>
      <c r="E197">
        <f t="shared" si="14"/>
        <v>-14.235047480638618</v>
      </c>
      <c r="F197">
        <f t="shared" si="15"/>
        <v>-53.125920445898764</v>
      </c>
    </row>
    <row r="198" spans="1:6">
      <c r="A198">
        <v>196</v>
      </c>
      <c r="B198">
        <f t="shared" si="13"/>
        <v>3.4208453339088858</v>
      </c>
      <c r="C198">
        <v>40</v>
      </c>
      <c r="D198">
        <f t="shared" si="12"/>
        <v>14.666666666666671</v>
      </c>
      <c r="E198">
        <f t="shared" si="14"/>
        <v>-15.06817545132928</v>
      </c>
      <c r="F198">
        <f t="shared" si="15"/>
        <v>-52.548972711294773</v>
      </c>
    </row>
    <row r="199" spans="1:6">
      <c r="A199">
        <v>197</v>
      </c>
      <c r="B199">
        <f t="shared" si="13"/>
        <v>3.4382986264288289</v>
      </c>
      <c r="C199">
        <v>40</v>
      </c>
      <c r="D199">
        <f t="shared" si="12"/>
        <v>14.333333333333329</v>
      </c>
      <c r="E199">
        <f t="shared" si="14"/>
        <v>-15.885529289935342</v>
      </c>
      <c r="F199">
        <f t="shared" si="15"/>
        <v>-51.959225073991597</v>
      </c>
    </row>
    <row r="200" spans="1:6">
      <c r="A200">
        <v>198</v>
      </c>
      <c r="B200">
        <f t="shared" si="13"/>
        <v>3.4557519189487729</v>
      </c>
      <c r="C200">
        <v>40</v>
      </c>
      <c r="D200">
        <f t="shared" si="12"/>
        <v>14</v>
      </c>
      <c r="E200">
        <f t="shared" si="14"/>
        <v>-16.686917696247178</v>
      </c>
      <c r="F200">
        <f t="shared" si="15"/>
        <v>-51.35705187993829</v>
      </c>
    </row>
    <row r="201" spans="1:6">
      <c r="A201">
        <v>199</v>
      </c>
      <c r="B201">
        <f t="shared" si="13"/>
        <v>3.473205211468716</v>
      </c>
      <c r="C201">
        <v>40</v>
      </c>
      <c r="D201">
        <f t="shared" si="12"/>
        <v>13.666666666666671</v>
      </c>
      <c r="E201">
        <f t="shared" si="14"/>
        <v>-17.47215762253408</v>
      </c>
      <c r="F201">
        <f t="shared" si="15"/>
        <v>-50.742830223830005</v>
      </c>
    </row>
    <row r="202" spans="1:6">
      <c r="A202">
        <v>200</v>
      </c>
      <c r="B202">
        <f t="shared" si="13"/>
        <v>3.4906585039886591</v>
      </c>
      <c r="C202">
        <v>40</v>
      </c>
      <c r="D202">
        <f t="shared" si="12"/>
        <v>13.333333333333329</v>
      </c>
      <c r="E202">
        <f t="shared" si="14"/>
        <v>-18.241074310702327</v>
      </c>
      <c r="F202">
        <f t="shared" si="15"/>
        <v>-50.116939775248447</v>
      </c>
    </row>
    <row r="203" spans="1:6">
      <c r="A203">
        <v>201</v>
      </c>
      <c r="B203">
        <f t="shared" si="13"/>
        <v>3.5081117965086026</v>
      </c>
      <c r="C203">
        <v>40</v>
      </c>
      <c r="D203">
        <f t="shared" si="12"/>
        <v>13</v>
      </c>
      <c r="E203">
        <f t="shared" si="14"/>
        <v>-18.993501325900922</v>
      </c>
      <c r="F203">
        <f t="shared" si="15"/>
        <v>-49.479762604351691</v>
      </c>
    </row>
    <row r="204" spans="1:6">
      <c r="A204">
        <v>202</v>
      </c>
      <c r="B204">
        <f t="shared" si="13"/>
        <v>3.5255650890285457</v>
      </c>
      <c r="C204">
        <v>40</v>
      </c>
      <c r="D204">
        <f t="shared" si="12"/>
        <v>12.666666666666671</v>
      </c>
      <c r="E204">
        <f t="shared" si="14"/>
        <v>-19.729280586571367</v>
      </c>
      <c r="F204">
        <f t="shared" si="15"/>
        <v>-48.831683007184139</v>
      </c>
    </row>
    <row r="205" spans="1:6">
      <c r="A205">
        <v>203</v>
      </c>
      <c r="B205">
        <f t="shared" si="13"/>
        <v>3.5430183815484888</v>
      </c>
      <c r="C205">
        <v>40</v>
      </c>
      <c r="D205">
        <f t="shared" si="12"/>
        <v>12.333333333333329</v>
      </c>
      <c r="E205">
        <f t="shared" si="14"/>
        <v>-20.448262390938648</v>
      </c>
      <c r="F205">
        <f t="shared" si="15"/>
        <v>-48.17308733067771</v>
      </c>
    </row>
    <row r="206" spans="1:6">
      <c r="A206">
        <v>204</v>
      </c>
      <c r="B206">
        <f t="shared" si="13"/>
        <v>3.5604716740684319</v>
      </c>
      <c r="C206">
        <v>40</v>
      </c>
      <c r="D206">
        <f t="shared" si="12"/>
        <v>12</v>
      </c>
      <c r="E206">
        <f t="shared" si="14"/>
        <v>-21.15030543994159</v>
      </c>
      <c r="F206">
        <f t="shared" si="15"/>
        <v>-47.504363797415259</v>
      </c>
    </row>
    <row r="207" spans="1:6">
      <c r="A207">
        <v>205</v>
      </c>
      <c r="B207">
        <f t="shared" si="13"/>
        <v>3.5779249665883754</v>
      </c>
      <c r="C207">
        <v>40</v>
      </c>
      <c r="D207">
        <f t="shared" si="12"/>
        <v>11.666666666666671</v>
      </c>
      <c r="E207">
        <f t="shared" si="14"/>
        <v>-21.835276856602796</v>
      </c>
      <c r="F207">
        <f t="shared" si="15"/>
        <v>-46.825902330226924</v>
      </c>
    </row>
    <row r="208" spans="1:6">
      <c r="A208">
        <v>206</v>
      </c>
      <c r="B208">
        <f t="shared" si="13"/>
        <v>3.5953782591083185</v>
      </c>
      <c r="C208">
        <v>40</v>
      </c>
      <c r="D208">
        <f t="shared" si="12"/>
        <v>11.333333333333329</v>
      </c>
      <c r="E208">
        <f t="shared" si="14"/>
        <v>-22.503052201839289</v>
      </c>
      <c r="F208">
        <f t="shared" si="15"/>
        <v>-46.138094376690574</v>
      </c>
    </row>
    <row r="209" spans="1:6">
      <c r="A209">
        <v>207</v>
      </c>
      <c r="B209">
        <f t="shared" si="13"/>
        <v>3.6128315516282616</v>
      </c>
      <c r="C209">
        <v>40</v>
      </c>
      <c r="D209">
        <f t="shared" si="12"/>
        <v>11</v>
      </c>
      <c r="E209">
        <f t="shared" si="14"/>
        <v>-23.153515486716859</v>
      </c>
      <c r="F209">
        <f t="shared" si="15"/>
        <v>-45.441332733606771</v>
      </c>
    </row>
    <row r="210" spans="1:6">
      <c r="A210">
        <v>208</v>
      </c>
      <c r="B210">
        <f t="shared" si="13"/>
        <v>3.6302848441482056</v>
      </c>
      <c r="C210">
        <v>40</v>
      </c>
      <c r="D210">
        <f t="shared" si="12"/>
        <v>10.666666666666671</v>
      </c>
      <c r="E210">
        <f t="shared" si="14"/>
        <v>-23.786559181151805</v>
      </c>
      <c r="F210">
        <f t="shared" si="15"/>
        <v>-44.736011371518963</v>
      </c>
    </row>
    <row r="211" spans="1:6">
      <c r="A211">
        <v>209</v>
      </c>
      <c r="B211">
        <f t="shared" si="13"/>
        <v>3.6477381366681487</v>
      </c>
      <c r="C211">
        <v>40</v>
      </c>
      <c r="D211">
        <f t="shared" si="12"/>
        <v>10.333333333333329</v>
      </c>
      <c r="E211">
        <f t="shared" si="14"/>
        <v>-24.402084219065625</v>
      </c>
      <c r="F211">
        <f t="shared" si="15"/>
        <v>-44.022525259349585</v>
      </c>
    </row>
    <row r="212" spans="1:6">
      <c r="A212">
        <v>210</v>
      </c>
      <c r="B212">
        <f t="shared" si="13"/>
        <v>3.6651914291880923</v>
      </c>
      <c r="C212">
        <v>40</v>
      </c>
      <c r="D212">
        <f t="shared" si="12"/>
        <v>10</v>
      </c>
      <c r="E212">
        <f t="shared" si="14"/>
        <v>-25.000000000000007</v>
      </c>
      <c r="F212">
        <f t="shared" si="15"/>
        <v>-43.301270189221931</v>
      </c>
    </row>
    <row r="213" spans="1:6">
      <c r="A213">
        <v>211</v>
      </c>
      <c r="B213">
        <f t="shared" si="13"/>
        <v>3.6826447217080354</v>
      </c>
      <c r="C213">
        <v>40</v>
      </c>
      <c r="D213">
        <f>A213/3-60</f>
        <v>10.333333333333329</v>
      </c>
      <c r="E213">
        <f t="shared" si="14"/>
        <v>-25.923583103806056</v>
      </c>
      <c r="F213">
        <f t="shared" si="15"/>
        <v>-43.144087468672986</v>
      </c>
    </row>
    <row r="214" spans="1:6">
      <c r="A214">
        <v>212</v>
      </c>
      <c r="B214">
        <f t="shared" si="13"/>
        <v>3.7000980142279785</v>
      </c>
      <c r="C214">
        <v>40</v>
      </c>
      <c r="D214">
        <f t="shared" ref="D214:D242" si="16">A214/3-60</f>
        <v>10.666666666666671</v>
      </c>
      <c r="E214">
        <f t="shared" si="14"/>
        <v>-26.849242721149047</v>
      </c>
      <c r="F214">
        <f t="shared" si="15"/>
        <v>-42.967770205258923</v>
      </c>
    </row>
    <row r="215" spans="1:6">
      <c r="A215">
        <v>213</v>
      </c>
      <c r="B215">
        <f t="shared" si="13"/>
        <v>3.717551306747922</v>
      </c>
      <c r="C215">
        <v>40</v>
      </c>
      <c r="D215">
        <f t="shared" si="16"/>
        <v>11</v>
      </c>
      <c r="E215">
        <f t="shared" si="14"/>
        <v>-27.776590785766381</v>
      </c>
      <c r="F215">
        <f t="shared" si="15"/>
        <v>-42.772198965216624</v>
      </c>
    </row>
    <row r="216" spans="1:6">
      <c r="A216">
        <v>214</v>
      </c>
      <c r="B216">
        <f t="shared" si="13"/>
        <v>3.7350045992678651</v>
      </c>
      <c r="C216">
        <v>40</v>
      </c>
      <c r="D216">
        <f t="shared" si="16"/>
        <v>11.333333333333329</v>
      </c>
      <c r="E216">
        <f t="shared" si="14"/>
        <v>-28.705235711498329</v>
      </c>
      <c r="F216">
        <f t="shared" si="15"/>
        <v>-42.557262057825476</v>
      </c>
    </row>
    <row r="217" spans="1:6">
      <c r="A217">
        <v>215</v>
      </c>
      <c r="B217">
        <f t="shared" si="13"/>
        <v>3.7524578917878082</v>
      </c>
      <c r="C217">
        <v>40</v>
      </c>
      <c r="D217">
        <f t="shared" si="16"/>
        <v>11.666666666666671</v>
      </c>
      <c r="E217">
        <f t="shared" si="14"/>
        <v>-29.634782544804036</v>
      </c>
      <c r="F217">
        <f t="shared" si="15"/>
        <v>-42.322855621597924</v>
      </c>
    </row>
    <row r="218" spans="1:6">
      <c r="A218">
        <v>216</v>
      </c>
      <c r="B218">
        <f t="shared" si="13"/>
        <v>3.7699111843077517</v>
      </c>
      <c r="C218">
        <v>40</v>
      </c>
      <c r="D218">
        <f t="shared" si="16"/>
        <v>12</v>
      </c>
      <c r="E218">
        <f t="shared" si="14"/>
        <v>-30.564833119208597</v>
      </c>
      <c r="F218">
        <f t="shared" si="15"/>
        <v>-42.068883707497271</v>
      </c>
    </row>
    <row r="219" spans="1:6">
      <c r="A219">
        <v>217</v>
      </c>
      <c r="B219">
        <f t="shared" si="13"/>
        <v>3.7873644768276948</v>
      </c>
      <c r="C219">
        <v>40</v>
      </c>
      <c r="D219">
        <f t="shared" si="16"/>
        <v>12.333333333333329</v>
      </c>
      <c r="E219">
        <f t="shared" si="14"/>
        <v>-31.494986211623846</v>
      </c>
      <c r="F219">
        <f t="shared" si="15"/>
        <v>-41.795258359141663</v>
      </c>
    </row>
    <row r="220" spans="1:6">
      <c r="A220">
        <v>218</v>
      </c>
      <c r="B220">
        <f t="shared" si="13"/>
        <v>3.8048177693476379</v>
      </c>
      <c r="C220">
        <v>40</v>
      </c>
      <c r="D220">
        <f t="shared" si="16"/>
        <v>12.666666666666671</v>
      </c>
      <c r="E220">
        <f t="shared" si="14"/>
        <v>-32.424837700484652</v>
      </c>
      <c r="F220">
        <f t="shared" si="15"/>
        <v>-41.501899689954044</v>
      </c>
    </row>
    <row r="221" spans="1:6">
      <c r="A221">
        <v>219</v>
      </c>
      <c r="B221">
        <f t="shared" si="13"/>
        <v>3.8222710618675819</v>
      </c>
      <c r="C221">
        <v>40</v>
      </c>
      <c r="D221">
        <f t="shared" si="16"/>
        <v>13</v>
      </c>
      <c r="E221">
        <f t="shared" si="14"/>
        <v>-33.353980725641392</v>
      </c>
      <c r="F221">
        <f t="shared" si="15"/>
        <v>-41.18873595721945</v>
      </c>
    </row>
    <row r="222" spans="1:6">
      <c r="A222">
        <v>220</v>
      </c>
      <c r="B222">
        <f t="shared" si="13"/>
        <v>3.839724354387525</v>
      </c>
      <c r="C222">
        <v>40</v>
      </c>
      <c r="D222">
        <f t="shared" si="16"/>
        <v>13.333333333333329</v>
      </c>
      <c r="E222">
        <f t="shared" si="14"/>
        <v>-34.28200584994876</v>
      </c>
      <c r="F222">
        <f t="shared" si="15"/>
        <v>-40.855703633012155</v>
      </c>
    </row>
    <row r="223" spans="1:6">
      <c r="A223">
        <v>221</v>
      </c>
      <c r="B223">
        <f t="shared" si="13"/>
        <v>3.8571776469074686</v>
      </c>
      <c r="C223">
        <v>40</v>
      </c>
      <c r="D223">
        <f t="shared" si="16"/>
        <v>13.666666666666671</v>
      </c>
      <c r="E223">
        <f t="shared" si="14"/>
        <v>-35.208501222490568</v>
      </c>
      <c r="F223">
        <f t="shared" si="15"/>
        <v>-40.502747471955431</v>
      </c>
    </row>
    <row r="224" spans="1:6">
      <c r="A224">
        <v>222</v>
      </c>
      <c r="B224">
        <f t="shared" si="13"/>
        <v>3.8746309394274117</v>
      </c>
      <c r="C224">
        <v>40</v>
      </c>
      <c r="D224">
        <f t="shared" si="16"/>
        <v>14</v>
      </c>
      <c r="E224">
        <f t="shared" si="14"/>
        <v>-36.133052743378343</v>
      </c>
      <c r="F224">
        <f t="shared" si="15"/>
        <v>-40.129820575779291</v>
      </c>
    </row>
    <row r="225" spans="1:6">
      <c r="A225">
        <v>223</v>
      </c>
      <c r="B225">
        <f t="shared" si="13"/>
        <v>3.8920842319473548</v>
      </c>
      <c r="C225">
        <v>40</v>
      </c>
      <c r="D225">
        <f t="shared" si="16"/>
        <v>14.333333333333329</v>
      </c>
      <c r="E225">
        <f t="shared" si="14"/>
        <v>-37.055244230062407</v>
      </c>
      <c r="F225">
        <f t="shared" si="15"/>
        <v>-39.736884454641597</v>
      </c>
    </row>
    <row r="226" spans="1:6">
      <c r="A226">
        <v>224</v>
      </c>
      <c r="B226">
        <f t="shared" si="13"/>
        <v>3.9095375244672983</v>
      </c>
      <c r="C226">
        <v>40</v>
      </c>
      <c r="D226">
        <f t="shared" si="16"/>
        <v>14.666666666666671</v>
      </c>
      <c r="E226">
        <f t="shared" si="14"/>
        <v>-37.974657585091862</v>
      </c>
      <c r="F226">
        <f t="shared" si="15"/>
        <v>-39.323909085179594</v>
      </c>
    </row>
    <row r="227" spans="1:6">
      <c r="A227">
        <v>225</v>
      </c>
      <c r="B227">
        <f t="shared" si="13"/>
        <v>3.9269908169872414</v>
      </c>
      <c r="C227">
        <v>40</v>
      </c>
      <c r="D227">
        <f t="shared" si="16"/>
        <v>15</v>
      </c>
      <c r="E227">
        <f t="shared" si="14"/>
        <v>-38.890872965260108</v>
      </c>
      <c r="F227">
        <f t="shared" si="15"/>
        <v>-38.890872965260122</v>
      </c>
    </row>
    <row r="228" spans="1:6">
      <c r="A228">
        <v>226</v>
      </c>
      <c r="B228">
        <f t="shared" si="13"/>
        <v>3.9444441095071845</v>
      </c>
      <c r="C228">
        <v>40</v>
      </c>
      <c r="D228">
        <f t="shared" si="16"/>
        <v>15.333333333333329</v>
      </c>
      <c r="E228">
        <f t="shared" si="14"/>
        <v>-39.803468952072009</v>
      </c>
      <c r="F228">
        <f t="shared" si="15"/>
        <v>-38.437763165397861</v>
      </c>
    </row>
    <row r="229" spans="1:6">
      <c r="A229">
        <v>227</v>
      </c>
      <c r="B229">
        <f t="shared" si="13"/>
        <v>3.9618974020271276</v>
      </c>
      <c r="C229">
        <v>40</v>
      </c>
      <c r="D229">
        <f t="shared" si="16"/>
        <v>15.666666666666671</v>
      </c>
      <c r="E229">
        <f t="shared" si="14"/>
        <v>-40.712022723467143</v>
      </c>
      <c r="F229">
        <f t="shared" si="15"/>
        <v>-37.964575376812441</v>
      </c>
    </row>
    <row r="230" spans="1:6">
      <c r="A230">
        <v>228</v>
      </c>
      <c r="B230">
        <f t="shared" si="13"/>
        <v>3.9793506945470711</v>
      </c>
      <c r="C230">
        <v>40</v>
      </c>
      <c r="D230">
        <f t="shared" si="16"/>
        <v>16</v>
      </c>
      <c r="E230">
        <f t="shared" si="14"/>
        <v>-41.616110226734065</v>
      </c>
      <c r="F230">
        <f t="shared" si="15"/>
        <v>-37.471313956096076</v>
      </c>
    </row>
    <row r="231" spans="1:6">
      <c r="A231">
        <v>229</v>
      </c>
      <c r="B231">
        <f t="shared" si="13"/>
        <v>3.9968039870670142</v>
      </c>
      <c r="C231">
        <v>40</v>
      </c>
      <c r="D231">
        <f t="shared" si="16"/>
        <v>16.333333333333329</v>
      </c>
      <c r="E231">
        <f t="shared" si="14"/>
        <v>-42.515306352549466</v>
      </c>
      <c r="F231">
        <f t="shared" si="15"/>
        <v>-36.957991966465258</v>
      </c>
    </row>
    <row r="232" spans="1:6">
      <c r="A232">
        <v>230</v>
      </c>
      <c r="B232">
        <f t="shared" si="13"/>
        <v>4.0142572795869578</v>
      </c>
      <c r="C232">
        <v>40</v>
      </c>
      <c r="D232">
        <f t="shared" si="16"/>
        <v>16.666666666666671</v>
      </c>
      <c r="E232">
        <f t="shared" si="14"/>
        <v>-43.40918511007542</v>
      </c>
      <c r="F232">
        <f t="shared" si="15"/>
        <v>-36.424631215570571</v>
      </c>
    </row>
    <row r="233" spans="1:6">
      <c r="A233">
        <v>231</v>
      </c>
      <c r="B233">
        <f t="shared" si="13"/>
        <v>4.0317105721069018</v>
      </c>
      <c r="C233">
        <v>40</v>
      </c>
      <c r="D233">
        <f t="shared" si="16"/>
        <v>17</v>
      </c>
      <c r="E233">
        <f t="shared" si="14"/>
        <v>-44.297319803047351</v>
      </c>
      <c r="F233">
        <f t="shared" si="15"/>
        <v>-35.871262289840722</v>
      </c>
    </row>
    <row r="234" spans="1:6">
      <c r="A234">
        <v>232</v>
      </c>
      <c r="B234">
        <f t="shared" si="13"/>
        <v>4.0491638646268449</v>
      </c>
      <c r="C234">
        <v>40</v>
      </c>
      <c r="D234">
        <f t="shared" si="16"/>
        <v>17.333333333333329</v>
      </c>
      <c r="E234">
        <f t="shared" si="14"/>
        <v>-45.179283206785399</v>
      </c>
      <c r="F234">
        <f t="shared" si="15"/>
        <v>-35.297924585337725</v>
      </c>
    </row>
    <row r="235" spans="1:6">
      <c r="A235">
        <v>233</v>
      </c>
      <c r="B235">
        <f t="shared" si="13"/>
        <v>4.066617157146788</v>
      </c>
      <c r="C235">
        <v>40</v>
      </c>
      <c r="D235">
        <f t="shared" si="16"/>
        <v>17.666666666666671</v>
      </c>
      <c r="E235">
        <f t="shared" si="14"/>
        <v>-46.05464774606056</v>
      </c>
      <c r="F235">
        <f t="shared" si="15"/>
        <v>-34.70466633510145</v>
      </c>
    </row>
    <row r="236" spans="1:6">
      <c r="A236">
        <v>234</v>
      </c>
      <c r="B236">
        <f t="shared" si="13"/>
        <v>4.0840704496667311</v>
      </c>
      <c r="C236">
        <v>40</v>
      </c>
      <c r="D236">
        <f t="shared" si="16"/>
        <v>18</v>
      </c>
      <c r="E236">
        <f t="shared" si="14"/>
        <v>-46.922985673746943</v>
      </c>
      <c r="F236">
        <f t="shared" si="15"/>
        <v>-34.091544632963448</v>
      </c>
    </row>
    <row r="237" spans="1:6">
      <c r="A237">
        <v>235</v>
      </c>
      <c r="B237">
        <f t="shared" si="13"/>
        <v>4.1015237421866741</v>
      </c>
      <c r="C237">
        <v>40</v>
      </c>
      <c r="D237">
        <f t="shared" si="16"/>
        <v>18.333333333333329</v>
      </c>
      <c r="E237">
        <f t="shared" si="14"/>
        <v>-47.783869250191174</v>
      </c>
      <c r="F237">
        <f t="shared" si="15"/>
        <v>-33.458625453811038</v>
      </c>
    </row>
    <row r="238" spans="1:6">
      <c r="A238">
        <v>236</v>
      </c>
      <c r="B238">
        <f t="shared" si="13"/>
        <v>4.1189770347066172</v>
      </c>
      <c r="C238">
        <v>40</v>
      </c>
      <c r="D238">
        <f t="shared" si="16"/>
        <v>18.666666666666671</v>
      </c>
      <c r="E238">
        <f t="shared" si="14"/>
        <v>-48.636870923229097</v>
      </c>
      <c r="F238">
        <f t="shared" si="15"/>
        <v>-32.805983670283844</v>
      </c>
    </row>
    <row r="239" spans="1:6">
      <c r="A239">
        <v>237</v>
      </c>
      <c r="B239">
        <f t="shared" si="13"/>
        <v>4.1364303272265612</v>
      </c>
      <c r="C239">
        <v>40</v>
      </c>
      <c r="D239">
        <f t="shared" si="16"/>
        <v>19</v>
      </c>
      <c r="E239">
        <f t="shared" si="14"/>
        <v>-49.48156350878002</v>
      </c>
      <c r="F239">
        <f t="shared" si="15"/>
        <v>-32.133703065886593</v>
      </c>
    </row>
    <row r="240" spans="1:6">
      <c r="A240">
        <v>238</v>
      </c>
      <c r="B240">
        <f t="shared" si="13"/>
        <v>4.1538836197465043</v>
      </c>
      <c r="C240">
        <v>40</v>
      </c>
      <c r="D240">
        <f t="shared" si="16"/>
        <v>19.333333333333329</v>
      </c>
      <c r="E240">
        <f t="shared" si="14"/>
        <v>-50.317520371947936</v>
      </c>
      <c r="F240">
        <f t="shared" si="15"/>
        <v>-31.441876344503495</v>
      </c>
    </row>
    <row r="241" spans="1:6">
      <c r="A241">
        <v>239</v>
      </c>
      <c r="B241">
        <f t="shared" si="13"/>
        <v>4.1713369122664474</v>
      </c>
      <c r="C241">
        <v>40</v>
      </c>
      <c r="D241">
        <f t="shared" si="16"/>
        <v>19.666666666666671</v>
      </c>
      <c r="E241">
        <f t="shared" si="14"/>
        <v>-51.14431560855936</v>
      </c>
      <c r="F241">
        <f t="shared" si="15"/>
        <v>-30.730605136299921</v>
      </c>
    </row>
    <row r="242" spans="1:6">
      <c r="A242">
        <v>240</v>
      </c>
      <c r="B242">
        <f t="shared" si="13"/>
        <v>4.1887902047863905</v>
      </c>
      <c r="C242">
        <v>40</v>
      </c>
      <c r="D242">
        <f t="shared" si="16"/>
        <v>20</v>
      </c>
      <c r="E242">
        <f t="shared" si="14"/>
        <v>-51.961524227066306</v>
      </c>
      <c r="F242">
        <f t="shared" si="15"/>
        <v>-30.000000000000028</v>
      </c>
    </row>
    <row r="243" spans="1:6">
      <c r="A243">
        <v>241</v>
      </c>
      <c r="B243">
        <f t="shared" si="13"/>
        <v>4.2062434973063345</v>
      </c>
      <c r="C243">
        <v>40</v>
      </c>
      <c r="D243">
        <f>-A243/3+100</f>
        <v>19.666666666666671</v>
      </c>
      <c r="E243">
        <f t="shared" si="14"/>
        <v>-52.185642525983965</v>
      </c>
      <c r="F243">
        <f t="shared" si="15"/>
        <v>-28.926974008031433</v>
      </c>
    </row>
    <row r="244" spans="1:6">
      <c r="A244">
        <v>242</v>
      </c>
      <c r="B244">
        <f t="shared" si="13"/>
        <v>4.2236967898262776</v>
      </c>
      <c r="C244">
        <v>40</v>
      </c>
      <c r="D244">
        <f t="shared" ref="D244:D272" si="17">-A244/3+100</f>
        <v>19.333333333333329</v>
      </c>
      <c r="E244">
        <f t="shared" si="14"/>
        <v>-52.388223842962994</v>
      </c>
      <c r="F244">
        <f t="shared" si="15"/>
        <v>-27.855312725296184</v>
      </c>
    </row>
    <row r="245" spans="1:6">
      <c r="A245">
        <v>243</v>
      </c>
      <c r="B245">
        <f t="shared" si="13"/>
        <v>4.2411500823462207</v>
      </c>
      <c r="C245">
        <v>40</v>
      </c>
      <c r="D245">
        <f t="shared" si="17"/>
        <v>19</v>
      </c>
      <c r="E245">
        <f t="shared" si="14"/>
        <v>-52.569384927113703</v>
      </c>
      <c r="F245">
        <f t="shared" si="15"/>
        <v>-26.785439484633269</v>
      </c>
    </row>
    <row r="246" spans="1:6">
      <c r="A246">
        <v>244</v>
      </c>
      <c r="B246">
        <f t="shared" si="13"/>
        <v>4.2586033748661638</v>
      </c>
      <c r="C246">
        <v>40</v>
      </c>
      <c r="D246">
        <f t="shared" si="17"/>
        <v>18.666666666666671</v>
      </c>
      <c r="E246">
        <f t="shared" si="14"/>
        <v>-52.729250716217791</v>
      </c>
      <c r="F246">
        <f t="shared" si="15"/>
        <v>-25.71777394495923</v>
      </c>
    </row>
    <row r="247" spans="1:6">
      <c r="A247">
        <v>245</v>
      </c>
      <c r="B247">
        <f t="shared" si="13"/>
        <v>4.2760566673861069</v>
      </c>
      <c r="C247">
        <v>40</v>
      </c>
      <c r="D247">
        <f t="shared" si="17"/>
        <v>18.333333333333329</v>
      </c>
      <c r="E247">
        <f t="shared" si="14"/>
        <v>-52.867954243804562</v>
      </c>
      <c r="F247">
        <f t="shared" si="15"/>
        <v>-24.652731934874161</v>
      </c>
    </row>
    <row r="248" spans="1:6">
      <c r="A248">
        <v>246</v>
      </c>
      <c r="B248">
        <f t="shared" si="13"/>
        <v>4.2935099599060509</v>
      </c>
      <c r="C248">
        <v>40</v>
      </c>
      <c r="D248">
        <f t="shared" si="17"/>
        <v>18</v>
      </c>
      <c r="E248">
        <f t="shared" si="14"/>
        <v>-52.985636543270857</v>
      </c>
      <c r="F248">
        <f t="shared" si="15"/>
        <v>-23.590725298396407</v>
      </c>
    </row>
    <row r="249" spans="1:6">
      <c r="A249">
        <v>247</v>
      </c>
      <c r="B249">
        <f t="shared" si="13"/>
        <v>4.310963252425994</v>
      </c>
      <c r="C249">
        <v>40</v>
      </c>
      <c r="D249">
        <f t="shared" si="17"/>
        <v>17.666666666666671</v>
      </c>
      <c r="E249">
        <f t="shared" si="14"/>
        <v>-53.082446549090726</v>
      </c>
      <c r="F249">
        <f t="shared" si="15"/>
        <v>-22.53216174288146</v>
      </c>
    </row>
    <row r="250" spans="1:6">
      <c r="A250">
        <v>248</v>
      </c>
      <c r="B250">
        <f t="shared" si="13"/>
        <v>4.3284165449459371</v>
      </c>
      <c r="C250">
        <v>40</v>
      </c>
      <c r="D250">
        <f t="shared" si="17"/>
        <v>17.333333333333329</v>
      </c>
      <c r="E250">
        <f t="shared" si="14"/>
        <v>-53.158540995162468</v>
      </c>
      <c r="F250">
        <f t="shared" si="15"/>
        <v>-21.47744468917897</v>
      </c>
    </row>
    <row r="251" spans="1:6">
      <c r="A251">
        <v>249</v>
      </c>
      <c r="B251">
        <f t="shared" si="13"/>
        <v>4.3458698374658802</v>
      </c>
      <c r="C251">
        <v>40</v>
      </c>
      <c r="D251">
        <f t="shared" si="17"/>
        <v>17</v>
      </c>
      <c r="E251">
        <f t="shared" si="14"/>
        <v>-53.214084310340496</v>
      </c>
      <c r="F251">
        <f t="shared" si="15"/>
        <v>-20.426973124082142</v>
      </c>
    </row>
    <row r="252" spans="1:6">
      <c r="A252">
        <v>250</v>
      </c>
      <c r="B252">
        <f t="shared" si="13"/>
        <v>4.3633231299858233</v>
      </c>
      <c r="C252">
        <v>40</v>
      </c>
      <c r="D252">
        <f t="shared" si="17"/>
        <v>16.666666666666671</v>
      </c>
      <c r="E252">
        <f t="shared" si="14"/>
        <v>-53.249248511201472</v>
      </c>
      <c r="F252">
        <f t="shared" si="15"/>
        <v>-19.381141455121266</v>
      </c>
    </row>
    <row r="253" spans="1:6">
      <c r="A253">
        <v>251</v>
      </c>
      <c r="B253">
        <f t="shared" si="13"/>
        <v>4.3807764225057673</v>
      </c>
      <c r="C253">
        <v>40</v>
      </c>
      <c r="D253">
        <f t="shared" si="17"/>
        <v>16.333333333333329</v>
      </c>
      <c r="E253">
        <f t="shared" si="14"/>
        <v>-53.264213092094842</v>
      </c>
      <c r="F253">
        <f t="shared" si="15"/>
        <v>-18.340339367753156</v>
      </c>
    </row>
    <row r="254" spans="1:6">
      <c r="A254">
        <v>252</v>
      </c>
      <c r="B254">
        <f t="shared" si="13"/>
        <v>4.3982297150257104</v>
      </c>
      <c r="C254">
        <v>40</v>
      </c>
      <c r="D254">
        <f t="shared" si="17"/>
        <v>16</v>
      </c>
      <c r="E254">
        <f t="shared" si="14"/>
        <v>-53.259164912528597</v>
      </c>
      <c r="F254">
        <f t="shared" si="15"/>
        <v>-17.304951684997064</v>
      </c>
    </row>
    <row r="255" spans="1:6">
      <c r="A255">
        <v>253</v>
      </c>
      <c r="B255">
        <f t="shared" si="13"/>
        <v>4.4156830075456535</v>
      </c>
      <c r="C255">
        <v>40</v>
      </c>
      <c r="D255">
        <f t="shared" si="17"/>
        <v>15.666666666666671</v>
      </c>
      <c r="E255">
        <f t="shared" si="14"/>
        <v>-53.234298081942306</v>
      </c>
      <c r="F255">
        <f t="shared" si="15"/>
        <v>-16.2753582295657</v>
      </c>
    </row>
    <row r="256" spans="1:6">
      <c r="A256">
        <v>254</v>
      </c>
      <c r="B256">
        <f t="shared" si="13"/>
        <v>4.4331363000655974</v>
      </c>
      <c r="C256">
        <v>40</v>
      </c>
      <c r="D256">
        <f t="shared" si="17"/>
        <v>15.333333333333329</v>
      </c>
      <c r="E256">
        <f t="shared" si="14"/>
        <v>-53.189813841920312</v>
      </c>
      <c r="F256">
        <f t="shared" si="15"/>
        <v>-15.251933688540603</v>
      </c>
    </row>
    <row r="257" spans="1:6">
      <c r="A257">
        <v>255</v>
      </c>
      <c r="B257">
        <f t="shared" si="13"/>
        <v>4.4505895925855405</v>
      </c>
      <c r="C257">
        <v>40</v>
      </c>
      <c r="D257">
        <f t="shared" si="17"/>
        <v>15</v>
      </c>
      <c r="E257">
        <f t="shared" si="14"/>
        <v>-53.125920445898757</v>
      </c>
      <c r="F257">
        <f t="shared" si="15"/>
        <v>-14.235047480638634</v>
      </c>
    </row>
    <row r="258" spans="1:6">
      <c r="A258">
        <v>256</v>
      </c>
      <c r="B258">
        <f t="shared" si="13"/>
        <v>4.4680428851054836</v>
      </c>
      <c r="C258">
        <v>40</v>
      </c>
      <c r="D258">
        <f t="shared" si="17"/>
        <v>14.666666666666671</v>
      </c>
      <c r="E258">
        <f t="shared" si="14"/>
        <v>-53.042833036421143</v>
      </c>
      <c r="F258">
        <f t="shared" si="15"/>
        <v>-13.225063626115173</v>
      </c>
    </row>
    <row r="259" spans="1:6">
      <c r="A259">
        <v>257</v>
      </c>
      <c r="B259">
        <f t="shared" ref="B259:B322" si="18">A259*PI()/180</f>
        <v>4.4854961776254267</v>
      </c>
      <c r="C259">
        <v>40</v>
      </c>
      <c r="D259">
        <f t="shared" si="17"/>
        <v>14.333333333333329</v>
      </c>
      <c r="E259">
        <f t="shared" ref="E259:E322" si="19">(C259+D259)*SIN(B259)</f>
        <v>-52.940773519997769</v>
      </c>
      <c r="F259">
        <f t="shared" ref="F259:F322" si="20">(C259+D259)*COS(-B259)</f>
        <v>-12.22234061935001</v>
      </c>
    </row>
    <row r="260" spans="1:6">
      <c r="A260">
        <v>258</v>
      </c>
      <c r="B260">
        <f t="shared" si="18"/>
        <v>4.5029494701453698</v>
      </c>
      <c r="C260">
        <v>40</v>
      </c>
      <c r="D260">
        <f t="shared" si="17"/>
        <v>14</v>
      </c>
      <c r="E260">
        <f t="shared" si="19"/>
        <v>-52.8199704396255</v>
      </c>
      <c r="F260">
        <f t="shared" si="20"/>
        <v>-11.227231304159028</v>
      </c>
    </row>
    <row r="261" spans="1:6">
      <c r="A261">
        <v>259</v>
      </c>
      <c r="B261">
        <f t="shared" si="18"/>
        <v>4.5204027626653129</v>
      </c>
      <c r="C261">
        <v>40</v>
      </c>
      <c r="D261">
        <f t="shared" si="17"/>
        <v>13.666666666666671</v>
      </c>
      <c r="E261">
        <f t="shared" si="19"/>
        <v>-52.680658845024631</v>
      </c>
      <c r="F261">
        <f t="shared" si="20"/>
        <v>-10.240082751874608</v>
      </c>
    </row>
    <row r="262" spans="1:6">
      <c r="A262">
        <v>260</v>
      </c>
      <c r="B262">
        <f t="shared" si="18"/>
        <v>4.5378560551852569</v>
      </c>
      <c r="C262">
        <v>40</v>
      </c>
      <c r="D262">
        <f t="shared" si="17"/>
        <v>13.333333333333329</v>
      </c>
      <c r="E262">
        <f t="shared" si="19"/>
        <v>-52.523080160651091</v>
      </c>
      <c r="F262">
        <f t="shared" si="20"/>
        <v>-9.2612361422362834</v>
      </c>
    </row>
    <row r="263" spans="1:6">
      <c r="A263">
        <v>261</v>
      </c>
      <c r="B263">
        <f t="shared" si="18"/>
        <v>4.5553093477052</v>
      </c>
      <c r="C263">
        <v>40</v>
      </c>
      <c r="D263">
        <f t="shared" si="17"/>
        <v>13</v>
      </c>
      <c r="E263">
        <f t="shared" si="19"/>
        <v>-52.347482051542293</v>
      </c>
      <c r="F263">
        <f t="shared" si="20"/>
        <v>-8.2910266471322451</v>
      </c>
    </row>
    <row r="264" spans="1:6">
      <c r="A264">
        <v>262</v>
      </c>
      <c r="B264">
        <f t="shared" si="18"/>
        <v>4.572762640225144</v>
      </c>
      <c r="C264">
        <v>40</v>
      </c>
      <c r="D264">
        <f t="shared" si="17"/>
        <v>12.666666666666671</v>
      </c>
      <c r="E264">
        <f t="shared" si="19"/>
        <v>-52.154118287056043</v>
      </c>
      <c r="F264">
        <f t="shared" si="20"/>
        <v>-7.3297833172300875</v>
      </c>
    </row>
    <row r="265" spans="1:6">
      <c r="A265">
        <v>263</v>
      </c>
      <c r="B265">
        <f t="shared" si="18"/>
        <v>4.5902159327450871</v>
      </c>
      <c r="C265">
        <v>40</v>
      </c>
      <c r="D265">
        <f t="shared" si="17"/>
        <v>12.333333333333329</v>
      </c>
      <c r="E265">
        <f t="shared" si="19"/>
        <v>-51.94324860256252</v>
      </c>
      <c r="F265">
        <f t="shared" si="20"/>
        <v>-6.3778289715360348</v>
      </c>
    </row>
    <row r="266" spans="1:6">
      <c r="A266">
        <v>264</v>
      </c>
      <c r="B266">
        <f t="shared" si="18"/>
        <v>4.6076692252650302</v>
      </c>
      <c r="C266">
        <v>40</v>
      </c>
      <c r="D266">
        <f t="shared" si="17"/>
        <v>12</v>
      </c>
      <c r="E266">
        <f t="shared" si="19"/>
        <v>-51.715138559150219</v>
      </c>
      <c r="F266">
        <f t="shared" si="20"/>
        <v>-5.4354800899179745</v>
      </c>
    </row>
    <row r="267" spans="1:6">
      <c r="A267">
        <v>265</v>
      </c>
      <c r="B267">
        <f t="shared" si="18"/>
        <v>4.6251225177849733</v>
      </c>
      <c r="C267">
        <v>40</v>
      </c>
      <c r="D267">
        <f t="shared" si="17"/>
        <v>11.666666666666671</v>
      </c>
      <c r="E267">
        <f t="shared" si="19"/>
        <v>-51.470059401406857</v>
      </c>
      <c r="F267">
        <f t="shared" si="20"/>
        <v>-4.50304670862901</v>
      </c>
    </row>
    <row r="268" spans="1:6">
      <c r="A268">
        <v>266</v>
      </c>
      <c r="B268">
        <f t="shared" si="18"/>
        <v>4.6425758103049164</v>
      </c>
      <c r="C268">
        <v>40</v>
      </c>
      <c r="D268">
        <f t="shared" si="17"/>
        <v>11.333333333333329</v>
      </c>
      <c r="E268">
        <f t="shared" si="19"/>
        <v>-51.208287913337635</v>
      </c>
      <c r="F268">
        <f t="shared" si="20"/>
        <v>-3.580832318865113</v>
      </c>
    </row>
    <row r="269" spans="1:6">
      <c r="A269">
        <v>267</v>
      </c>
      <c r="B269">
        <f t="shared" si="18"/>
        <v>4.6600291028248595</v>
      </c>
      <c r="C269">
        <v>40</v>
      </c>
      <c r="D269">
        <f t="shared" si="17"/>
        <v>11</v>
      </c>
      <c r="E269">
        <f t="shared" si="19"/>
        <v>-50.930106272483265</v>
      </c>
      <c r="F269">
        <f t="shared" si="20"/>
        <v>-2.6691337683901595</v>
      </c>
    </row>
    <row r="270" spans="1:6">
      <c r="A270">
        <v>268</v>
      </c>
      <c r="B270">
        <f t="shared" si="18"/>
        <v>4.6774823953448026</v>
      </c>
      <c r="C270">
        <v>40</v>
      </c>
      <c r="D270">
        <f t="shared" si="17"/>
        <v>10.666666666666671</v>
      </c>
      <c r="E270">
        <f t="shared" si="19"/>
        <v>-50.635801902300848</v>
      </c>
      <c r="F270">
        <f t="shared" si="20"/>
        <v>-1.7682411662600837</v>
      </c>
    </row>
    <row r="271" spans="1:6">
      <c r="A271">
        <v>269</v>
      </c>
      <c r="B271">
        <f t="shared" si="18"/>
        <v>4.6949356878647466</v>
      </c>
      <c r="C271">
        <v>40</v>
      </c>
      <c r="D271">
        <f t="shared" si="17"/>
        <v>10.333333333333329</v>
      </c>
      <c r="E271">
        <f t="shared" si="19"/>
        <v>-50.325667322871688</v>
      </c>
      <c r="F271">
        <f t="shared" si="20"/>
        <v>-0.87843779067660266</v>
      </c>
    </row>
    <row r="272" spans="1:6">
      <c r="A272">
        <v>270</v>
      </c>
      <c r="B272">
        <f t="shared" si="18"/>
        <v>4.7123889803846897</v>
      </c>
      <c r="C272">
        <v>40</v>
      </c>
      <c r="D272">
        <f t="shared" si="17"/>
        <v>10</v>
      </c>
      <c r="E272">
        <f t="shared" si="19"/>
        <v>-50</v>
      </c>
      <c r="F272">
        <f t="shared" si="20"/>
        <v>-9.1886134118146501E-15</v>
      </c>
    </row>
    <row r="273" spans="1:6">
      <c r="A273">
        <v>271</v>
      </c>
      <c r="B273">
        <f t="shared" si="18"/>
        <v>4.7298422729046328</v>
      </c>
      <c r="C273">
        <v>40</v>
      </c>
      <c r="D273">
        <f>D272</f>
        <v>10</v>
      </c>
      <c r="E273">
        <f t="shared" si="19"/>
        <v>-49.992384757819565</v>
      </c>
      <c r="F273">
        <f t="shared" si="20"/>
        <v>0.8726203218641565</v>
      </c>
    </row>
    <row r="274" spans="1:6">
      <c r="A274">
        <v>272</v>
      </c>
      <c r="B274">
        <f t="shared" si="18"/>
        <v>4.7472955654245768</v>
      </c>
      <c r="C274">
        <v>40</v>
      </c>
      <c r="D274">
        <f t="shared" ref="D274:D330" si="21">D273</f>
        <v>10</v>
      </c>
      <c r="E274">
        <f t="shared" si="19"/>
        <v>-49.969541350954785</v>
      </c>
      <c r="F274">
        <f t="shared" si="20"/>
        <v>1.744974835125064</v>
      </c>
    </row>
    <row r="275" spans="1:6">
      <c r="A275">
        <v>273</v>
      </c>
      <c r="B275">
        <f t="shared" si="18"/>
        <v>4.7647488579445199</v>
      </c>
      <c r="C275">
        <v>40</v>
      </c>
      <c r="D275">
        <f t="shared" si="21"/>
        <v>10</v>
      </c>
      <c r="E275">
        <f t="shared" si="19"/>
        <v>-49.931476737728694</v>
      </c>
      <c r="F275">
        <f t="shared" si="20"/>
        <v>2.6167978121471971</v>
      </c>
    </row>
    <row r="276" spans="1:6">
      <c r="A276">
        <v>274</v>
      </c>
      <c r="B276">
        <f t="shared" si="18"/>
        <v>4.782202150464463</v>
      </c>
      <c r="C276">
        <v>40</v>
      </c>
      <c r="D276">
        <f t="shared" si="21"/>
        <v>10</v>
      </c>
      <c r="E276">
        <f t="shared" si="19"/>
        <v>-49.878202512991216</v>
      </c>
      <c r="F276">
        <f t="shared" si="20"/>
        <v>3.4878236872062609</v>
      </c>
    </row>
    <row r="277" spans="1:6">
      <c r="A277">
        <v>275</v>
      </c>
      <c r="B277">
        <f t="shared" si="18"/>
        <v>4.7996554429844061</v>
      </c>
      <c r="C277">
        <v>40</v>
      </c>
      <c r="D277">
        <f t="shared" si="21"/>
        <v>10</v>
      </c>
      <c r="E277">
        <f t="shared" si="19"/>
        <v>-49.80973490458728</v>
      </c>
      <c r="F277">
        <f t="shared" si="20"/>
        <v>4.3577871373828945</v>
      </c>
    </row>
    <row r="278" spans="1:6">
      <c r="A278">
        <v>276</v>
      </c>
      <c r="B278">
        <f t="shared" si="18"/>
        <v>4.8171087355043491</v>
      </c>
      <c r="C278">
        <v>40</v>
      </c>
      <c r="D278">
        <f t="shared" si="21"/>
        <v>10</v>
      </c>
      <c r="E278">
        <f t="shared" si="19"/>
        <v>-49.726094768413667</v>
      </c>
      <c r="F278">
        <f t="shared" si="20"/>
        <v>5.2264231633826492</v>
      </c>
    </row>
    <row r="279" spans="1:6">
      <c r="A279">
        <v>277</v>
      </c>
      <c r="B279">
        <f t="shared" si="18"/>
        <v>4.8345620280242931</v>
      </c>
      <c r="C279">
        <v>40</v>
      </c>
      <c r="D279">
        <f t="shared" si="21"/>
        <v>10</v>
      </c>
      <c r="E279">
        <f t="shared" si="19"/>
        <v>-49.627307582066102</v>
      </c>
      <c r="F279">
        <f t="shared" si="20"/>
        <v>6.0934671702573846</v>
      </c>
    </row>
    <row r="280" spans="1:6">
      <c r="A280">
        <v>278</v>
      </c>
      <c r="B280">
        <f t="shared" si="18"/>
        <v>4.8520153205442362</v>
      </c>
      <c r="C280">
        <v>40</v>
      </c>
      <c r="D280">
        <f t="shared" si="21"/>
        <v>10</v>
      </c>
      <c r="E280">
        <f t="shared" si="19"/>
        <v>-49.513403437078516</v>
      </c>
      <c r="F280">
        <f t="shared" si="20"/>
        <v>6.9586550480032736</v>
      </c>
    </row>
    <row r="281" spans="1:6">
      <c r="A281">
        <v>279</v>
      </c>
      <c r="B281">
        <f t="shared" si="18"/>
        <v>4.8694686130641793</v>
      </c>
      <c r="C281">
        <v>40</v>
      </c>
      <c r="D281">
        <f t="shared" si="21"/>
        <v>10</v>
      </c>
      <c r="E281">
        <f t="shared" si="19"/>
        <v>-49.384417029756889</v>
      </c>
      <c r="F281">
        <f t="shared" si="20"/>
        <v>7.8217232520115338</v>
      </c>
    </row>
    <row r="282" spans="1:6">
      <c r="A282">
        <v>280</v>
      </c>
      <c r="B282">
        <f t="shared" si="18"/>
        <v>4.8869219055841224</v>
      </c>
      <c r="C282">
        <v>40</v>
      </c>
      <c r="D282">
        <f t="shared" si="21"/>
        <v>10</v>
      </c>
      <c r="E282">
        <f t="shared" si="19"/>
        <v>-49.240387650610408</v>
      </c>
      <c r="F282">
        <f t="shared" si="20"/>
        <v>8.6824088833464987</v>
      </c>
    </row>
    <row r="283" spans="1:6">
      <c r="A283">
        <v>281</v>
      </c>
      <c r="B283">
        <f t="shared" si="18"/>
        <v>4.9043751981040655</v>
      </c>
      <c r="C283">
        <v>40</v>
      </c>
      <c r="D283">
        <f t="shared" si="21"/>
        <v>10</v>
      </c>
      <c r="E283">
        <f t="shared" si="19"/>
        <v>-49.081359172383202</v>
      </c>
      <c r="F283">
        <f t="shared" si="20"/>
        <v>9.5404497688272123</v>
      </c>
    </row>
    <row r="284" spans="1:6">
      <c r="A284">
        <v>282</v>
      </c>
      <c r="B284">
        <f t="shared" si="18"/>
        <v>4.9218284906240086</v>
      </c>
      <c r="C284">
        <v>40</v>
      </c>
      <c r="D284">
        <f t="shared" si="21"/>
        <v>10</v>
      </c>
      <c r="E284">
        <f t="shared" si="19"/>
        <v>-48.907380036690292</v>
      </c>
      <c r="F284">
        <f t="shared" si="20"/>
        <v>10.395584540887928</v>
      </c>
    </row>
    <row r="285" spans="1:6">
      <c r="A285">
        <v>283</v>
      </c>
      <c r="B285">
        <f t="shared" si="18"/>
        <v>4.9392817831439526</v>
      </c>
      <c r="C285">
        <v>40</v>
      </c>
      <c r="D285">
        <f t="shared" si="21"/>
        <v>10</v>
      </c>
      <c r="E285">
        <f t="shared" si="19"/>
        <v>-48.718503239261764</v>
      </c>
      <c r="F285">
        <f t="shared" si="20"/>
        <v>11.247552717193246</v>
      </c>
    </row>
    <row r="286" spans="1:6">
      <c r="A286">
        <v>284</v>
      </c>
      <c r="B286">
        <f t="shared" si="18"/>
        <v>4.9567350756638957</v>
      </c>
      <c r="C286">
        <v>40</v>
      </c>
      <c r="D286">
        <f t="shared" si="21"/>
        <v>10</v>
      </c>
      <c r="E286">
        <f t="shared" si="19"/>
        <v>-48.514786313799831</v>
      </c>
      <c r="F286">
        <f t="shared" si="20"/>
        <v>12.096094779983373</v>
      </c>
    </row>
    <row r="287" spans="1:6">
      <c r="A287">
        <v>285</v>
      </c>
      <c r="B287">
        <f t="shared" si="18"/>
        <v>4.9741883681838397</v>
      </c>
      <c r="C287">
        <v>40</v>
      </c>
      <c r="D287">
        <f t="shared" si="21"/>
        <v>10</v>
      </c>
      <c r="E287">
        <f t="shared" si="19"/>
        <v>-48.296291314453413</v>
      </c>
      <c r="F287">
        <f t="shared" si="20"/>
        <v>12.940952255126057</v>
      </c>
    </row>
    <row r="288" spans="1:6">
      <c r="A288">
        <v>286</v>
      </c>
      <c r="B288">
        <f t="shared" si="18"/>
        <v>4.9916416607037828</v>
      </c>
      <c r="C288">
        <v>40</v>
      </c>
      <c r="D288">
        <f t="shared" si="21"/>
        <v>10</v>
      </c>
      <c r="E288">
        <f t="shared" si="19"/>
        <v>-48.063084796915938</v>
      </c>
      <c r="F288">
        <f t="shared" si="20"/>
        <v>13.781867790849969</v>
      </c>
    </row>
    <row r="289" spans="1:6">
      <c r="A289">
        <v>287</v>
      </c>
      <c r="B289">
        <f t="shared" si="18"/>
        <v>5.0090949532237259</v>
      </c>
      <c r="C289">
        <v>40</v>
      </c>
      <c r="D289">
        <f t="shared" si="21"/>
        <v>10</v>
      </c>
      <c r="E289">
        <f t="shared" si="19"/>
        <v>-47.81523779815177</v>
      </c>
      <c r="F289">
        <f t="shared" si="20"/>
        <v>14.618585236136836</v>
      </c>
    </row>
    <row r="290" spans="1:6">
      <c r="A290">
        <v>288</v>
      </c>
      <c r="B290">
        <f t="shared" si="18"/>
        <v>5.026548245743669</v>
      </c>
      <c r="C290">
        <v>40</v>
      </c>
      <c r="D290">
        <f t="shared" si="21"/>
        <v>10</v>
      </c>
      <c r="E290">
        <f t="shared" si="19"/>
        <v>-47.552825814757682</v>
      </c>
      <c r="F290">
        <f t="shared" si="20"/>
        <v>15.450849718747362</v>
      </c>
    </row>
    <row r="291" spans="1:6">
      <c r="A291">
        <v>289</v>
      </c>
      <c r="B291">
        <f t="shared" si="18"/>
        <v>5.0440015382636121</v>
      </c>
      <c r="C291">
        <v>40</v>
      </c>
      <c r="D291">
        <f t="shared" si="21"/>
        <v>10</v>
      </c>
      <c r="E291">
        <f t="shared" si="19"/>
        <v>-47.275928779965845</v>
      </c>
      <c r="F291">
        <f t="shared" si="20"/>
        <v>16.278407722857814</v>
      </c>
    </row>
    <row r="292" spans="1:6">
      <c r="A292">
        <v>290</v>
      </c>
      <c r="B292">
        <f t="shared" si="18"/>
        <v>5.0614548307835552</v>
      </c>
      <c r="C292">
        <v>40</v>
      </c>
      <c r="D292">
        <f t="shared" si="21"/>
        <v>10</v>
      </c>
      <c r="E292">
        <f t="shared" si="19"/>
        <v>-46.984631039295429</v>
      </c>
      <c r="F292">
        <f t="shared" si="20"/>
        <v>17.101007166283409</v>
      </c>
    </row>
    <row r="293" spans="1:6">
      <c r="A293">
        <v>291</v>
      </c>
      <c r="B293">
        <f t="shared" si="18"/>
        <v>5.0789081233034983</v>
      </c>
      <c r="C293">
        <v>40</v>
      </c>
      <c r="D293">
        <f t="shared" si="21"/>
        <v>10</v>
      </c>
      <c r="E293">
        <f t="shared" si="19"/>
        <v>-46.679021324860102</v>
      </c>
      <c r="F293">
        <f t="shared" si="20"/>
        <v>17.918397477264978</v>
      </c>
    </row>
    <row r="294" spans="1:6">
      <c r="A294">
        <v>292</v>
      </c>
      <c r="B294">
        <f t="shared" si="18"/>
        <v>5.0963614158234423</v>
      </c>
      <c r="C294">
        <v>40</v>
      </c>
      <c r="D294">
        <f t="shared" si="21"/>
        <v>10</v>
      </c>
      <c r="E294">
        <f t="shared" si="19"/>
        <v>-46.359192728339373</v>
      </c>
      <c r="F294">
        <f t="shared" si="20"/>
        <v>18.730329670795598</v>
      </c>
    </row>
    <row r="295" spans="1:6">
      <c r="A295">
        <v>293</v>
      </c>
      <c r="B295">
        <f t="shared" si="18"/>
        <v>5.1138147083433854</v>
      </c>
      <c r="C295">
        <v>40</v>
      </c>
      <c r="D295">
        <f t="shared" si="21"/>
        <v>10</v>
      </c>
      <c r="E295">
        <f t="shared" si="19"/>
        <v>-46.025242672622028</v>
      </c>
      <c r="F295">
        <f t="shared" si="20"/>
        <v>19.536556424463676</v>
      </c>
    </row>
    <row r="296" spans="1:6">
      <c r="A296">
        <v>294</v>
      </c>
      <c r="B296">
        <f t="shared" si="18"/>
        <v>5.1312680008633293</v>
      </c>
      <c r="C296">
        <v>40</v>
      </c>
      <c r="D296">
        <f t="shared" si="21"/>
        <v>10</v>
      </c>
      <c r="E296">
        <f t="shared" si="19"/>
        <v>-45.67727288213004</v>
      </c>
      <c r="F296">
        <f t="shared" si="20"/>
        <v>20.336832153790027</v>
      </c>
    </row>
    <row r="297" spans="1:6">
      <c r="A297">
        <v>295</v>
      </c>
      <c r="B297">
        <f t="shared" si="18"/>
        <v>5.1487212933832724</v>
      </c>
      <c r="C297">
        <v>40</v>
      </c>
      <c r="D297">
        <f t="shared" si="21"/>
        <v>10</v>
      </c>
      <c r="E297">
        <f t="shared" si="19"/>
        <v>-45.315389351832494</v>
      </c>
      <c r="F297">
        <f t="shared" si="20"/>
        <v>21.13091308703498</v>
      </c>
    </row>
    <row r="298" spans="1:6">
      <c r="A298">
        <v>296</v>
      </c>
      <c r="B298">
        <f t="shared" si="18"/>
        <v>5.1661745859032155</v>
      </c>
      <c r="C298">
        <v>40</v>
      </c>
      <c r="D298">
        <f t="shared" si="21"/>
        <v>10</v>
      </c>
      <c r="E298">
        <f t="shared" si="19"/>
        <v>-44.939702314958353</v>
      </c>
      <c r="F298">
        <f t="shared" si="20"/>
        <v>21.918557339453869</v>
      </c>
    </row>
    <row r="299" spans="1:6">
      <c r="A299">
        <v>297</v>
      </c>
      <c r="B299">
        <f t="shared" si="18"/>
        <v>5.1836278784231586</v>
      </c>
      <c r="C299">
        <v>40</v>
      </c>
      <c r="D299">
        <f t="shared" si="21"/>
        <v>10</v>
      </c>
      <c r="E299">
        <f t="shared" si="19"/>
        <v>-44.550326209418394</v>
      </c>
      <c r="F299">
        <f t="shared" si="20"/>
        <v>22.69952498697733</v>
      </c>
    </row>
    <row r="300" spans="1:6">
      <c r="A300">
        <v>298</v>
      </c>
      <c r="B300">
        <f t="shared" si="18"/>
        <v>5.2010811709431017</v>
      </c>
      <c r="C300">
        <v>40</v>
      </c>
      <c r="D300">
        <f t="shared" si="21"/>
        <v>10</v>
      </c>
      <c r="E300">
        <f t="shared" si="19"/>
        <v>-44.147379642946355</v>
      </c>
      <c r="F300">
        <f t="shared" si="20"/>
        <v>23.473578139294521</v>
      </c>
    </row>
    <row r="301" spans="1:6">
      <c r="A301">
        <v>299</v>
      </c>
      <c r="B301">
        <f t="shared" si="18"/>
        <v>5.2185344634630448</v>
      </c>
      <c r="C301">
        <v>40</v>
      </c>
      <c r="D301">
        <f t="shared" si="21"/>
        <v>10</v>
      </c>
      <c r="E301">
        <f t="shared" si="19"/>
        <v>-43.730985356969803</v>
      </c>
      <c r="F301">
        <f t="shared" si="20"/>
        <v>24.240481012316824</v>
      </c>
    </row>
    <row r="302" spans="1:6">
      <c r="A302">
        <v>300</v>
      </c>
      <c r="B302">
        <f t="shared" si="18"/>
        <v>5.2359877559829888</v>
      </c>
      <c r="C302">
        <v>40</v>
      </c>
      <c r="D302">
        <f t="shared" si="21"/>
        <v>10</v>
      </c>
      <c r="E302">
        <f t="shared" si="19"/>
        <v>-43.301270189221931</v>
      </c>
      <c r="F302">
        <f t="shared" si="20"/>
        <v>25.000000000000007</v>
      </c>
    </row>
    <row r="303" spans="1:6">
      <c r="A303">
        <v>301</v>
      </c>
      <c r="B303">
        <f t="shared" si="18"/>
        <v>5.2534410485029319</v>
      </c>
      <c r="C303">
        <v>40</v>
      </c>
      <c r="D303">
        <f t="shared" si="21"/>
        <v>10</v>
      </c>
      <c r="E303">
        <f t="shared" si="19"/>
        <v>-42.858365035105614</v>
      </c>
      <c r="F303">
        <f t="shared" si="20"/>
        <v>25.751903745502709</v>
      </c>
    </row>
    <row r="304" spans="1:6">
      <c r="A304">
        <v>302</v>
      </c>
      <c r="B304">
        <f t="shared" si="18"/>
        <v>5.270894341022875</v>
      </c>
      <c r="C304">
        <v>40</v>
      </c>
      <c r="D304">
        <f t="shared" si="21"/>
        <v>10</v>
      </c>
      <c r="E304">
        <f t="shared" si="19"/>
        <v>-42.402404807821306</v>
      </c>
      <c r="F304">
        <f t="shared" si="20"/>
        <v>26.495963211660232</v>
      </c>
    </row>
    <row r="305" spans="1:6">
      <c r="A305">
        <v>303</v>
      </c>
      <c r="B305">
        <f t="shared" si="18"/>
        <v>5.2883476335428181</v>
      </c>
      <c r="C305">
        <v>40</v>
      </c>
      <c r="D305">
        <f t="shared" si="21"/>
        <v>10</v>
      </c>
      <c r="E305">
        <f t="shared" si="19"/>
        <v>-41.933528397271211</v>
      </c>
      <c r="F305">
        <f t="shared" si="20"/>
        <v>27.231951750751332</v>
      </c>
    </row>
    <row r="306" spans="1:6">
      <c r="A306">
        <v>304</v>
      </c>
      <c r="B306">
        <f t="shared" si="18"/>
        <v>5.3058009260627612</v>
      </c>
      <c r="C306">
        <v>40</v>
      </c>
      <c r="D306">
        <f t="shared" si="21"/>
        <v>10</v>
      </c>
      <c r="E306">
        <f t="shared" si="19"/>
        <v>-41.451878627752102</v>
      </c>
      <c r="F306">
        <f t="shared" si="20"/>
        <v>27.959645173537311</v>
      </c>
    </row>
    <row r="307" spans="1:6">
      <c r="A307">
        <v>305</v>
      </c>
      <c r="B307">
        <f t="shared" si="18"/>
        <v>5.3232542185827052</v>
      </c>
      <c r="C307">
        <v>40</v>
      </c>
      <c r="D307">
        <f t="shared" si="21"/>
        <v>10</v>
      </c>
      <c r="E307">
        <f t="shared" si="19"/>
        <v>-40.957602214449587</v>
      </c>
      <c r="F307">
        <f t="shared" si="20"/>
        <v>28.678821817552304</v>
      </c>
    </row>
    <row r="308" spans="1:6">
      <c r="A308">
        <v>306</v>
      </c>
      <c r="B308">
        <f t="shared" si="18"/>
        <v>5.3407075111026483</v>
      </c>
      <c r="C308">
        <v>40</v>
      </c>
      <c r="D308">
        <f t="shared" si="21"/>
        <v>10</v>
      </c>
      <c r="E308">
        <f t="shared" si="19"/>
        <v>-40.450849718747378</v>
      </c>
      <c r="F308">
        <f t="shared" si="20"/>
        <v>29.389262614623647</v>
      </c>
    </row>
    <row r="309" spans="1:6">
      <c r="A309">
        <v>307</v>
      </c>
      <c r="B309">
        <f t="shared" si="18"/>
        <v>5.3581608036225914</v>
      </c>
      <c r="C309">
        <v>40</v>
      </c>
      <c r="D309">
        <f t="shared" si="21"/>
        <v>10</v>
      </c>
      <c r="E309">
        <f t="shared" si="19"/>
        <v>-39.931775502364651</v>
      </c>
      <c r="F309">
        <f t="shared" si="20"/>
        <v>30.090751157602398</v>
      </c>
    </row>
    <row r="310" spans="1:6">
      <c r="A310">
        <v>308</v>
      </c>
      <c r="B310">
        <f t="shared" si="18"/>
        <v>5.3756140961425354</v>
      </c>
      <c r="C310">
        <v>40</v>
      </c>
      <c r="D310">
        <f t="shared" si="21"/>
        <v>10</v>
      </c>
      <c r="E310">
        <f t="shared" si="19"/>
        <v>-39.400537680336086</v>
      </c>
      <c r="F310">
        <f t="shared" si="20"/>
        <v>30.783073766282925</v>
      </c>
    </row>
    <row r="311" spans="1:6">
      <c r="A311">
        <v>309</v>
      </c>
      <c r="B311">
        <f t="shared" si="18"/>
        <v>5.3930673886624785</v>
      </c>
      <c r="C311">
        <v>40</v>
      </c>
      <c r="D311">
        <f t="shared" si="21"/>
        <v>10</v>
      </c>
      <c r="E311">
        <f t="shared" si="19"/>
        <v>-38.857298072848536</v>
      </c>
      <c r="F311">
        <f t="shared" si="20"/>
        <v>31.466019552491876</v>
      </c>
    </row>
    <row r="312" spans="1:6">
      <c r="A312">
        <v>310</v>
      </c>
      <c r="B312">
        <f t="shared" si="18"/>
        <v>5.4105206811824216</v>
      </c>
      <c r="C312">
        <v>40</v>
      </c>
      <c r="D312">
        <f t="shared" si="21"/>
        <v>10</v>
      </c>
      <c r="E312">
        <f t="shared" si="19"/>
        <v>-38.302222155948904</v>
      </c>
      <c r="F312">
        <f t="shared" si="20"/>
        <v>32.139380484326963</v>
      </c>
    </row>
    <row r="313" spans="1:6">
      <c r="A313">
        <v>311</v>
      </c>
      <c r="B313">
        <f t="shared" si="18"/>
        <v>5.4279739737023647</v>
      </c>
      <c r="C313">
        <v>40</v>
      </c>
      <c r="D313">
        <f t="shared" si="21"/>
        <v>10</v>
      </c>
      <c r="E313">
        <f t="shared" si="19"/>
        <v>-37.735479011138615</v>
      </c>
      <c r="F313">
        <f t="shared" si="20"/>
        <v>32.802951449525352</v>
      </c>
    </row>
    <row r="314" spans="1:6">
      <c r="A314">
        <v>312</v>
      </c>
      <c r="B314">
        <f t="shared" si="18"/>
        <v>5.4454272662223078</v>
      </c>
      <c r="C314">
        <v>40</v>
      </c>
      <c r="D314">
        <f t="shared" si="21"/>
        <v>10</v>
      </c>
      <c r="E314">
        <f t="shared" si="19"/>
        <v>-37.15724127386973</v>
      </c>
      <c r="F314">
        <f t="shared" si="20"/>
        <v>33.456530317942892</v>
      </c>
    </row>
    <row r="315" spans="1:6">
      <c r="A315">
        <v>313</v>
      </c>
      <c r="B315">
        <f t="shared" si="18"/>
        <v>5.4628805587422509</v>
      </c>
      <c r="C315">
        <v>40</v>
      </c>
      <c r="D315">
        <f t="shared" si="21"/>
        <v>10</v>
      </c>
      <c r="E315">
        <f t="shared" si="19"/>
        <v>-36.567685080958547</v>
      </c>
      <c r="F315">
        <f t="shared" si="20"/>
        <v>34.099918003124898</v>
      </c>
    </row>
    <row r="316" spans="1:6">
      <c r="A316">
        <v>314</v>
      </c>
      <c r="B316">
        <f t="shared" si="18"/>
        <v>5.480333851262194</v>
      </c>
      <c r="C316">
        <v>40</v>
      </c>
      <c r="D316">
        <f t="shared" si="21"/>
        <v>10</v>
      </c>
      <c r="E316">
        <f t="shared" si="19"/>
        <v>-35.966990016932584</v>
      </c>
      <c r="F316">
        <f t="shared" si="20"/>
        <v>34.732918522949831</v>
      </c>
    </row>
    <row r="317" spans="1:6">
      <c r="A317">
        <v>315</v>
      </c>
      <c r="B317">
        <f t="shared" si="18"/>
        <v>5.497787143782138</v>
      </c>
      <c r="C317">
        <v>40</v>
      </c>
      <c r="D317">
        <f t="shared" si="21"/>
        <v>10</v>
      </c>
      <c r="E317">
        <f t="shared" si="19"/>
        <v>-35.355339059327385</v>
      </c>
      <c r="F317">
        <f t="shared" si="20"/>
        <v>35.35533905932737</v>
      </c>
    </row>
    <row r="318" spans="1:6">
      <c r="A318">
        <v>316</v>
      </c>
      <c r="B318">
        <f t="shared" si="18"/>
        <v>5.5152404363020811</v>
      </c>
      <c r="C318">
        <v>40</v>
      </c>
      <c r="D318">
        <f t="shared" si="21"/>
        <v>10</v>
      </c>
      <c r="E318">
        <f t="shared" si="19"/>
        <v>-34.73291852294988</v>
      </c>
      <c r="F318">
        <f t="shared" si="20"/>
        <v>35.966990016932542</v>
      </c>
    </row>
    <row r="319" spans="1:6">
      <c r="A319">
        <v>317</v>
      </c>
      <c r="B319">
        <f t="shared" si="18"/>
        <v>5.532693728822025</v>
      </c>
      <c r="C319">
        <v>40</v>
      </c>
      <c r="D319">
        <f t="shared" si="21"/>
        <v>10</v>
      </c>
      <c r="E319">
        <f t="shared" si="19"/>
        <v>-34.099918003124913</v>
      </c>
      <c r="F319">
        <f t="shared" si="20"/>
        <v>36.567685080958533</v>
      </c>
    </row>
    <row r="320" spans="1:6">
      <c r="A320">
        <v>318</v>
      </c>
      <c r="B320">
        <f t="shared" si="18"/>
        <v>5.5501470213419681</v>
      </c>
      <c r="C320">
        <v>40</v>
      </c>
      <c r="D320">
        <f t="shared" si="21"/>
        <v>10</v>
      </c>
      <c r="E320">
        <f t="shared" si="19"/>
        <v>-33.456530317942907</v>
      </c>
      <c r="F320">
        <f t="shared" si="20"/>
        <v>37.157241273869715</v>
      </c>
    </row>
    <row r="321" spans="1:6">
      <c r="A321">
        <v>319</v>
      </c>
      <c r="B321">
        <f t="shared" si="18"/>
        <v>5.5676003138619112</v>
      </c>
      <c r="C321">
        <v>40</v>
      </c>
      <c r="D321">
        <f t="shared" si="21"/>
        <v>10</v>
      </c>
      <c r="E321">
        <f t="shared" si="19"/>
        <v>-32.802951449525366</v>
      </c>
      <c r="F321">
        <f t="shared" si="20"/>
        <v>37.735479011138594</v>
      </c>
    </row>
    <row r="322" spans="1:6">
      <c r="A322">
        <v>320</v>
      </c>
      <c r="B322">
        <f t="shared" si="18"/>
        <v>5.5850536063818543</v>
      </c>
      <c r="C322">
        <v>40</v>
      </c>
      <c r="D322">
        <f t="shared" si="21"/>
        <v>10</v>
      </c>
      <c r="E322">
        <f t="shared" si="19"/>
        <v>-32.139380484326978</v>
      </c>
      <c r="F322">
        <f t="shared" si="20"/>
        <v>38.30222215594889</v>
      </c>
    </row>
    <row r="323" spans="1:6">
      <c r="A323">
        <v>321</v>
      </c>
      <c r="B323">
        <f t="shared" ref="B323:B362" si="22">A323*PI()/180</f>
        <v>5.6025068989017974</v>
      </c>
      <c r="C323">
        <v>40</v>
      </c>
      <c r="D323">
        <f t="shared" si="21"/>
        <v>10</v>
      </c>
      <c r="E323">
        <f t="shared" ref="E323:E362" si="23">(C323+D323)*SIN(B323)</f>
        <v>-31.466019552491893</v>
      </c>
      <c r="F323">
        <f t="shared" ref="F323:F362" si="24">(C323+D323)*COS(-B323)</f>
        <v>38.857298072848529</v>
      </c>
    </row>
    <row r="324" spans="1:6">
      <c r="A324">
        <v>322</v>
      </c>
      <c r="B324">
        <f t="shared" si="22"/>
        <v>5.6199601914217405</v>
      </c>
      <c r="C324">
        <v>40</v>
      </c>
      <c r="D324">
        <f t="shared" si="21"/>
        <v>10</v>
      </c>
      <c r="E324">
        <f t="shared" si="23"/>
        <v>-30.783073766282943</v>
      </c>
      <c r="F324">
        <f t="shared" si="24"/>
        <v>39.400537680336079</v>
      </c>
    </row>
    <row r="325" spans="1:6">
      <c r="A325">
        <v>323</v>
      </c>
      <c r="B325">
        <f t="shared" si="22"/>
        <v>5.6374134839416845</v>
      </c>
      <c r="C325">
        <v>40</v>
      </c>
      <c r="D325">
        <f t="shared" si="21"/>
        <v>10</v>
      </c>
      <c r="E325">
        <f t="shared" si="23"/>
        <v>-30.090751157602412</v>
      </c>
      <c r="F325">
        <f t="shared" si="24"/>
        <v>39.931775502364644</v>
      </c>
    </row>
    <row r="326" spans="1:6">
      <c r="A326">
        <v>324</v>
      </c>
      <c r="B326">
        <f t="shared" si="22"/>
        <v>5.6548667764616276</v>
      </c>
      <c r="C326">
        <v>40</v>
      </c>
      <c r="D326">
        <f t="shared" si="21"/>
        <v>10</v>
      </c>
      <c r="E326">
        <f t="shared" si="23"/>
        <v>-29.389262614623668</v>
      </c>
      <c r="F326">
        <f t="shared" si="24"/>
        <v>40.450849718747364</v>
      </c>
    </row>
    <row r="327" spans="1:6">
      <c r="A327">
        <v>325</v>
      </c>
      <c r="B327">
        <f t="shared" si="22"/>
        <v>5.6723200689815707</v>
      </c>
      <c r="C327">
        <v>40</v>
      </c>
      <c r="D327">
        <f t="shared" si="21"/>
        <v>10</v>
      </c>
      <c r="E327">
        <f t="shared" si="23"/>
        <v>-28.678821817552326</v>
      </c>
      <c r="F327">
        <f t="shared" si="24"/>
        <v>40.957602214449579</v>
      </c>
    </row>
    <row r="328" spans="1:6">
      <c r="A328">
        <v>326</v>
      </c>
      <c r="B328">
        <f t="shared" si="22"/>
        <v>5.6897733615015138</v>
      </c>
      <c r="C328">
        <v>40</v>
      </c>
      <c r="D328">
        <f t="shared" si="21"/>
        <v>10</v>
      </c>
      <c r="E328">
        <f t="shared" si="23"/>
        <v>-27.959645173537368</v>
      </c>
      <c r="F328">
        <f t="shared" si="24"/>
        <v>41.451878627752073</v>
      </c>
    </row>
    <row r="329" spans="1:6">
      <c r="A329">
        <v>327</v>
      </c>
      <c r="B329">
        <f t="shared" si="22"/>
        <v>5.7072266540214578</v>
      </c>
      <c r="C329">
        <v>40</v>
      </c>
      <c r="D329">
        <f t="shared" si="21"/>
        <v>10</v>
      </c>
      <c r="E329">
        <f t="shared" si="23"/>
        <v>-27.23195175075135</v>
      </c>
      <c r="F329">
        <f t="shared" si="24"/>
        <v>41.933528397271203</v>
      </c>
    </row>
    <row r="330" spans="1:6">
      <c r="A330">
        <v>328</v>
      </c>
      <c r="B330">
        <f t="shared" si="22"/>
        <v>5.7246799465414</v>
      </c>
      <c r="C330">
        <v>40</v>
      </c>
      <c r="D330">
        <f t="shared" si="21"/>
        <v>10</v>
      </c>
      <c r="E330">
        <f t="shared" si="23"/>
        <v>-26.495963211660289</v>
      </c>
      <c r="F330">
        <f t="shared" si="24"/>
        <v>42.40240480782127</v>
      </c>
    </row>
    <row r="331" spans="1:6">
      <c r="A331">
        <v>329</v>
      </c>
      <c r="B331">
        <f t="shared" si="22"/>
        <v>5.742133239061344</v>
      </c>
      <c r="C331">
        <v>40</v>
      </c>
      <c r="D331">
        <f>D330</f>
        <v>10</v>
      </c>
      <c r="E331">
        <f t="shared" si="23"/>
        <v>-25.751903745502723</v>
      </c>
      <c r="F331">
        <f t="shared" si="24"/>
        <v>42.858365035105606</v>
      </c>
    </row>
    <row r="332" spans="1:6">
      <c r="A332">
        <v>330</v>
      </c>
      <c r="B332">
        <f t="shared" si="22"/>
        <v>5.7595865315812871</v>
      </c>
      <c r="C332">
        <v>40</v>
      </c>
      <c r="D332">
        <f>D331</f>
        <v>10</v>
      </c>
      <c r="E332">
        <f t="shared" si="23"/>
        <v>-25.000000000000021</v>
      </c>
      <c r="F332">
        <f t="shared" si="24"/>
        <v>43.301270189221917</v>
      </c>
    </row>
    <row r="333" spans="1:6">
      <c r="A333">
        <v>331</v>
      </c>
      <c r="B333">
        <f t="shared" si="22"/>
        <v>5.7770398241012311</v>
      </c>
      <c r="C333">
        <v>40</v>
      </c>
      <c r="D333">
        <f>-A333/3+120</f>
        <v>9.6666666666666714</v>
      </c>
      <c r="E333">
        <f t="shared" si="23"/>
        <v>-24.078877805568069</v>
      </c>
      <c r="F333">
        <f t="shared" si="24"/>
        <v>43.43944545459</v>
      </c>
    </row>
    <row r="334" spans="1:6">
      <c r="A334">
        <v>332</v>
      </c>
      <c r="B334">
        <f t="shared" si="22"/>
        <v>5.7944931166211742</v>
      </c>
      <c r="C334">
        <v>40</v>
      </c>
      <c r="D334">
        <f t="shared" ref="D334:D362" si="25">-A334/3+120</f>
        <v>9.3333333333333286</v>
      </c>
      <c r="E334">
        <f t="shared" si="23"/>
        <v>-23.160597097437279</v>
      </c>
      <c r="F334">
        <f t="shared" si="24"/>
        <v>43.558747914373718</v>
      </c>
    </row>
    <row r="335" spans="1:6">
      <c r="A335">
        <v>333</v>
      </c>
      <c r="B335">
        <f t="shared" si="22"/>
        <v>5.8119464091411173</v>
      </c>
      <c r="C335">
        <v>40</v>
      </c>
      <c r="D335">
        <f t="shared" si="25"/>
        <v>9</v>
      </c>
      <c r="E335">
        <f t="shared" si="23"/>
        <v>-22.245534487237801</v>
      </c>
      <c r="F335">
        <f t="shared" si="24"/>
        <v>43.659319685230024</v>
      </c>
    </row>
    <row r="336" spans="1:6">
      <c r="A336">
        <v>334</v>
      </c>
      <c r="B336">
        <f t="shared" si="22"/>
        <v>5.8293997016610613</v>
      </c>
      <c r="C336">
        <v>40</v>
      </c>
      <c r="D336">
        <f t="shared" si="25"/>
        <v>8.6666666666666714</v>
      </c>
      <c r="E336">
        <f t="shared" si="23"/>
        <v>-21.334062477068418</v>
      </c>
      <c r="F336">
        <f t="shared" si="24"/>
        <v>43.741310253226139</v>
      </c>
    </row>
    <row r="337" spans="1:6">
      <c r="A337">
        <v>335</v>
      </c>
      <c r="B337">
        <f t="shared" si="22"/>
        <v>5.8468529941810035</v>
      </c>
      <c r="C337">
        <v>40</v>
      </c>
      <c r="D337">
        <f t="shared" si="25"/>
        <v>8.3333333333333286</v>
      </c>
      <c r="E337">
        <f t="shared" si="23"/>
        <v>-20.426549317467163</v>
      </c>
      <c r="F337">
        <f t="shared" si="24"/>
        <v>43.804876373438063</v>
      </c>
    </row>
    <row r="338" spans="1:6">
      <c r="A338">
        <v>336</v>
      </c>
      <c r="B338">
        <f t="shared" si="22"/>
        <v>5.8643062867009474</v>
      </c>
      <c r="C338">
        <v>40</v>
      </c>
      <c r="D338">
        <f t="shared" si="25"/>
        <v>8</v>
      </c>
      <c r="E338">
        <f t="shared" si="23"/>
        <v>-19.523358867638407</v>
      </c>
      <c r="F338">
        <f t="shared" si="24"/>
        <v>43.850181966844843</v>
      </c>
    </row>
    <row r="339" spans="1:6">
      <c r="A339">
        <v>337</v>
      </c>
      <c r="B339">
        <f t="shared" si="22"/>
        <v>5.8817595792208897</v>
      </c>
      <c r="C339">
        <v>40</v>
      </c>
      <c r="D339">
        <f t="shared" si="25"/>
        <v>7.6666666666666714</v>
      </c>
      <c r="E339">
        <f t="shared" si="23"/>
        <v>-18.624850457988764</v>
      </c>
      <c r="F339">
        <f t="shared" si="24"/>
        <v>43.87739801456631</v>
      </c>
    </row>
    <row r="340" spans="1:6">
      <c r="A340">
        <v>338</v>
      </c>
      <c r="B340">
        <f t="shared" si="22"/>
        <v>5.8992128717408336</v>
      </c>
      <c r="C340">
        <v>40</v>
      </c>
      <c r="D340">
        <f t="shared" si="25"/>
        <v>7.3333333333333286</v>
      </c>
      <c r="E340">
        <f t="shared" si="23"/>
        <v>-17.731378755019851</v>
      </c>
      <c r="F340">
        <f t="shared" si="24"/>
        <v>43.886702449494592</v>
      </c>
    </row>
    <row r="341" spans="1:6">
      <c r="A341">
        <v>339</v>
      </c>
      <c r="B341">
        <f t="shared" si="22"/>
        <v>5.9166661642607767</v>
      </c>
      <c r="C341">
        <v>40</v>
      </c>
      <c r="D341">
        <f t="shared" si="25"/>
        <v>7</v>
      </c>
      <c r="E341">
        <f t="shared" si="23"/>
        <v>-16.843293628629137</v>
      </c>
      <c r="F341">
        <f t="shared" si="24"/>
        <v>43.87828004536847</v>
      </c>
    </row>
    <row r="342" spans="1:6">
      <c r="A342">
        <v>340</v>
      </c>
      <c r="B342">
        <f t="shared" si="22"/>
        <v>5.9341194567807207</v>
      </c>
      <c r="C342">
        <v>40</v>
      </c>
      <c r="D342">
        <f t="shared" si="25"/>
        <v>6.6666666666666714</v>
      </c>
      <c r="E342">
        <f t="shared" si="23"/>
        <v>-15.960940021864536</v>
      </c>
      <c r="F342">
        <f t="shared" si="24"/>
        <v>43.852322303342397</v>
      </c>
    </row>
    <row r="343" spans="1:6">
      <c r="A343">
        <v>341</v>
      </c>
      <c r="B343">
        <f t="shared" si="22"/>
        <v>5.9515727493006629</v>
      </c>
      <c r="C343">
        <v>40</v>
      </c>
      <c r="D343">
        <f t="shared" si="25"/>
        <v>6.3333333333333286</v>
      </c>
      <c r="E343">
        <f t="shared" si="23"/>
        <v>-15.084657823181631</v>
      </c>
      <c r="F343">
        <f t="shared" si="24"/>
        <v>43.809027336101657</v>
      </c>
    </row>
    <row r="344" spans="1:6">
      <c r="A344">
        <v>342</v>
      </c>
      <c r="B344">
        <f t="shared" si="22"/>
        <v>5.9690260418206069</v>
      </c>
      <c r="C344">
        <v>40</v>
      </c>
      <c r="D344">
        <f t="shared" si="25"/>
        <v>6</v>
      </c>
      <c r="E344">
        <f t="shared" si="23"/>
        <v>-14.21478174124759</v>
      </c>
      <c r="F344">
        <f t="shared" si="24"/>
        <v>43.74859974957706</v>
      </c>
    </row>
    <row r="345" spans="1:6">
      <c r="A345">
        <v>343</v>
      </c>
      <c r="B345">
        <f t="shared" si="22"/>
        <v>5.9864793343405509</v>
      </c>
      <c r="C345">
        <v>40</v>
      </c>
      <c r="D345">
        <f t="shared" si="25"/>
        <v>5.6666666666666714</v>
      </c>
      <c r="E345">
        <f t="shared" si="23"/>
        <v>-13.351641182338291</v>
      </c>
      <c r="F345">
        <f t="shared" si="24"/>
        <v>43.671250522311965</v>
      </c>
    </row>
    <row r="346" spans="1:6">
      <c r="A346">
        <v>344</v>
      </c>
      <c r="B346">
        <f t="shared" si="22"/>
        <v>6.0039326268604931</v>
      </c>
      <c r="C346">
        <v>40</v>
      </c>
      <c r="D346">
        <f t="shared" si="25"/>
        <v>5.3333333333333286</v>
      </c>
      <c r="E346">
        <f t="shared" si="23"/>
        <v>-12.495560130370656</v>
      </c>
      <c r="F346">
        <f t="shared" si="24"/>
        <v>43.577196882537109</v>
      </c>
    </row>
    <row r="347" spans="1:6">
      <c r="A347">
        <v>345</v>
      </c>
      <c r="B347">
        <f t="shared" si="22"/>
        <v>6.0213859193804371</v>
      </c>
      <c r="C347">
        <v>40</v>
      </c>
      <c r="D347">
        <f t="shared" si="25"/>
        <v>5</v>
      </c>
      <c r="E347">
        <f t="shared" si="23"/>
        <v>-11.646857029613431</v>
      </c>
      <c r="F347">
        <f t="shared" si="24"/>
        <v>43.466662183008076</v>
      </c>
    </row>
    <row r="348" spans="1:6">
      <c r="A348">
        <v>346</v>
      </c>
      <c r="B348">
        <f t="shared" si="22"/>
        <v>6.0388392119003802</v>
      </c>
      <c r="C348">
        <v>40</v>
      </c>
      <c r="D348">
        <f t="shared" si="25"/>
        <v>4.6666666666666714</v>
      </c>
      <c r="E348">
        <f t="shared" si="23"/>
        <v>-10.8058446701185</v>
      </c>
      <c r="F348">
        <f t="shared" si="24"/>
        <v>43.339875773661177</v>
      </c>
    </row>
    <row r="349" spans="1:6">
      <c r="A349">
        <v>347</v>
      </c>
      <c r="B349">
        <f t="shared" si="22"/>
        <v>6.0562925044203233</v>
      </c>
      <c r="C349">
        <v>40</v>
      </c>
      <c r="D349">
        <f t="shared" si="25"/>
        <v>4.3333333333333286</v>
      </c>
      <c r="E349">
        <f t="shared" si="23"/>
        <v>-9.9728300759113626</v>
      </c>
      <c r="F349">
        <f t="shared" si="24"/>
        <v>43.197072872145419</v>
      </c>
    </row>
    <row r="350" spans="1:6">
      <c r="A350">
        <v>348</v>
      </c>
      <c r="B350">
        <f t="shared" si="22"/>
        <v>6.0737457969402664</v>
      </c>
      <c r="C350">
        <v>40</v>
      </c>
      <c r="D350">
        <f t="shared" si="25"/>
        <v>4</v>
      </c>
      <c r="E350">
        <f t="shared" si="23"/>
        <v>-9.1481143959814339</v>
      </c>
      <c r="F350">
        <f t="shared" si="24"/>
        <v>43.038494432287443</v>
      </c>
    </row>
    <row r="351" spans="1:6">
      <c r="A351">
        <v>349</v>
      </c>
      <c r="B351">
        <f t="shared" si="22"/>
        <v>6.0911990894602104</v>
      </c>
      <c r="C351">
        <v>40</v>
      </c>
      <c r="D351">
        <f t="shared" si="25"/>
        <v>3.6666666666666714</v>
      </c>
      <c r="E351">
        <f t="shared" si="23"/>
        <v>-8.331992798109118</v>
      </c>
      <c r="F351">
        <f t="shared" si="24"/>
        <v>42.864387010548</v>
      </c>
    </row>
    <row r="352" spans="1:6">
      <c r="A352">
        <v>350</v>
      </c>
      <c r="B352">
        <f t="shared" si="22"/>
        <v>6.1086523819801526</v>
      </c>
      <c r="C352">
        <v>40</v>
      </c>
      <c r="D352">
        <f t="shared" si="25"/>
        <v>3.3333333333333286</v>
      </c>
      <c r="E352">
        <f t="shared" si="23"/>
        <v>-7.5247543655670208</v>
      </c>
      <c r="F352">
        <f t="shared" si="24"/>
        <v>42.675002630529008</v>
      </c>
    </row>
    <row r="353" spans="1:6">
      <c r="A353">
        <v>351</v>
      </c>
      <c r="B353">
        <f t="shared" si="22"/>
        <v>6.1261056745000966</v>
      </c>
      <c r="C353">
        <v>40</v>
      </c>
      <c r="D353">
        <f t="shared" si="25"/>
        <v>3</v>
      </c>
      <c r="E353">
        <f t="shared" si="23"/>
        <v>-6.7266819967299378</v>
      </c>
      <c r="F353">
        <f t="shared" si="24"/>
        <v>42.470598645590918</v>
      </c>
    </row>
    <row r="354" spans="1:6">
      <c r="A354">
        <v>352</v>
      </c>
      <c r="B354">
        <f t="shared" si="22"/>
        <v>6.1435589670200397</v>
      </c>
      <c r="C354">
        <v>40</v>
      </c>
      <c r="D354">
        <f t="shared" si="25"/>
        <v>2.6666666666666714</v>
      </c>
      <c r="E354">
        <f t="shared" si="23"/>
        <v>-5.9380523076294782</v>
      </c>
      <c r="F354">
        <f t="shared" si="24"/>
        <v>42.251437599640333</v>
      </c>
    </row>
    <row r="355" spans="1:6">
      <c r="A355">
        <v>353</v>
      </c>
      <c r="B355">
        <f t="shared" si="22"/>
        <v>6.1610122595399828</v>
      </c>
      <c r="C355">
        <v>40</v>
      </c>
      <c r="D355">
        <f t="shared" si="25"/>
        <v>2.3333333333333286</v>
      </c>
      <c r="E355">
        <f t="shared" si="23"/>
        <v>-5.1591355374846026</v>
      </c>
      <c r="F355">
        <f t="shared" si="24"/>
        <v>42.017787086149291</v>
      </c>
    </row>
    <row r="356" spans="1:6">
      <c r="A356">
        <v>354</v>
      </c>
      <c r="B356">
        <f t="shared" si="22"/>
        <v>6.1784655520599268</v>
      </c>
      <c r="C356">
        <v>40</v>
      </c>
      <c r="D356">
        <f t="shared" si="25"/>
        <v>2</v>
      </c>
      <c r="E356">
        <f t="shared" si="23"/>
        <v>-4.3901954572414432</v>
      </c>
      <c r="F356">
        <f t="shared" si="24"/>
        <v>41.769919605467479</v>
      </c>
    </row>
    <row r="357" spans="1:6">
      <c r="A357">
        <v>355</v>
      </c>
      <c r="B357">
        <f t="shared" si="22"/>
        <v>6.1959188445798699</v>
      </c>
      <c r="C357">
        <v>40</v>
      </c>
      <c r="D357">
        <f t="shared" si="25"/>
        <v>1.6666666666666714</v>
      </c>
      <c r="E357">
        <f t="shared" si="23"/>
        <v>-3.6314892811524304</v>
      </c>
      <c r="F357">
        <f t="shared" si="24"/>
        <v>41.508112420489404</v>
      </c>
    </row>
    <row r="358" spans="1:6">
      <c r="A358">
        <v>356</v>
      </c>
      <c r="B358">
        <f t="shared" si="22"/>
        <v>6.2133721370998138</v>
      </c>
      <c r="C358">
        <v>40</v>
      </c>
      <c r="D358">
        <f t="shared" si="25"/>
        <v>1.3333333333333286</v>
      </c>
      <c r="E358">
        <f t="shared" si="23"/>
        <v>-2.8832675814238233</v>
      </c>
      <c r="F358">
        <f t="shared" si="24"/>
        <v>41.232647410739403</v>
      </c>
    </row>
    <row r="359" spans="1:6">
      <c r="A359">
        <v>357</v>
      </c>
      <c r="B359">
        <f t="shared" si="22"/>
        <v>6.2308254296197561</v>
      </c>
      <c r="C359">
        <v>40</v>
      </c>
      <c r="D359">
        <f t="shared" si="25"/>
        <v>1</v>
      </c>
      <c r="E359">
        <f t="shared" si="23"/>
        <v>-2.145774205960719</v>
      </c>
      <c r="F359">
        <f t="shared" si="24"/>
        <v>40.94381092493753</v>
      </c>
    </row>
    <row r="360" spans="1:6">
      <c r="A360">
        <v>358</v>
      </c>
      <c r="B360">
        <f t="shared" si="22"/>
        <v>6.2482787221397</v>
      </c>
      <c r="C360">
        <v>40</v>
      </c>
      <c r="D360">
        <f t="shared" si="25"/>
        <v>0.6666666666666714</v>
      </c>
      <c r="E360">
        <f t="shared" si="23"/>
        <v>-1.4192461992350336</v>
      </c>
      <c r="F360">
        <f t="shared" si="24"/>
        <v>40.641893632109898</v>
      </c>
    </row>
    <row r="361" spans="1:6">
      <c r="A361">
        <v>359</v>
      </c>
      <c r="B361">
        <f t="shared" si="22"/>
        <v>6.2657320146596422</v>
      </c>
      <c r="C361">
        <v>40</v>
      </c>
      <c r="D361">
        <f t="shared" si="25"/>
        <v>0.3333333333333286</v>
      </c>
      <c r="E361">
        <f t="shared" si="23"/>
        <v>-0.703913726303806</v>
      </c>
      <c r="F361">
        <f t="shared" si="24"/>
        <v>40.327190371307779</v>
      </c>
    </row>
    <row r="362" spans="1:6">
      <c r="A362">
        <v>360</v>
      </c>
      <c r="B362">
        <f t="shared" si="22"/>
        <v>6.2831853071795862</v>
      </c>
      <c r="C362">
        <v>40</v>
      </c>
      <c r="D362">
        <f t="shared" si="25"/>
        <v>0</v>
      </c>
      <c r="E362">
        <f t="shared" si="23"/>
        <v>-9.8011876392689601E-15</v>
      </c>
      <c r="F362">
        <f t="shared" si="24"/>
        <v>40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cols>
    <col min="1" max="1" width="8.75" customWidth="1"/>
  </cols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cols>
    <col min="1" max="1" width="8.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youkoutaku</cp:lastModifiedBy>
  <dcterms:created xsi:type="dcterms:W3CDTF">2016-06-21T04:57:11Z</dcterms:created>
  <dcterms:modified xsi:type="dcterms:W3CDTF">2020-07-30T09:16:43Z</dcterms:modified>
</cp:coreProperties>
</file>